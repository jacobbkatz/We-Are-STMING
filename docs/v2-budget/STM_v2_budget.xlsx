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v1 (what it cost)" sheetId="1" state="visible" r:id="rId3"/>
    <sheet name="v2 budget" sheetId="2" state="visible" r:id="rId4"/>
  </sheets>
  <definedNames>
    <definedName function="false" hidden="false" localSheetId="1" name="_xlnm.Print_Titles" vbProcedure="false">'v2 budget'!$12:$12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<sst xmlns="http://schemas.openxmlformats.org/spreadsheetml/2006/main" count="455" uniqueCount="337">
  <si>
    <t xml:space="preserve">STM v1: what it actually cost</t>
  </si>
  <si>
    <t xml:space="preserve">From v1's receipts and invoices, June to September 2026, in US dollars.</t>
  </si>
  <si>
    <t xml:space="preserve">Item</t>
  </si>
  <si>
    <t xml:space="preserve">Qty</t>
  </si>
  <si>
    <t xml:space="preserve">Cost</t>
  </si>
  <si>
    <t xml:space="preserve">Note</t>
  </si>
  <si>
    <t xml:space="preserve">Circuit boards (JLCPCB, July)</t>
  </si>
  <si>
    <t xml:space="preserve">Main controller boards, assembled</t>
  </si>
  <si>
    <t xml:space="preserve">Preamp boards, assembled</t>
  </si>
  <si>
    <t xml:space="preserve">Blank controller boards</t>
  </si>
  <si>
    <t xml:space="preserve">Blank preamp boards</t>
  </si>
  <si>
    <t xml:space="preserve">Discount</t>
  </si>
  <si>
    <t xml:space="preserve">Shipping</t>
  </si>
  <si>
    <t xml:space="preserve">Import tariff</t>
  </si>
  <si>
    <t xml:space="preserve">Tax</t>
  </si>
  <si>
    <t xml:space="preserve">Subtotal</t>
  </si>
  <si>
    <t xml:space="preserve">Adjustment screws (Thorlabs, June)</t>
  </si>
  <si>
    <t xml:space="preserve">Adjustment screws (FAS200, 2 in long: longer than the design needs)</t>
  </si>
  <si>
    <t xml:space="preserve">Electronic parts (DigiKey, three orders)</t>
  </si>
  <si>
    <t xml:space="preserve">Op-amp for U21 (LT1469)</t>
  </si>
  <si>
    <t xml:space="preserve">DB9 connectors</t>
  </si>
  <si>
    <t xml:space="preserve">Standoffs, wrong size (did not fit)</t>
  </si>
  <si>
    <t xml:space="preserve">Standoffs, right size</t>
  </si>
  <si>
    <t xml:space="preserve">Amazon (tools, wire, connectors, supplies), 42 purchases grouped</t>
  </si>
  <si>
    <t xml:space="preserve">Screws, nuts and threaded rod</t>
  </si>
  <si>
    <t xml:space="preserve">4 purchases</t>
  </si>
  <si>
    <t xml:space="preserve">Wire and cables</t>
  </si>
  <si>
    <t xml:space="preserve">6 purchases</t>
  </si>
  <si>
    <t xml:space="preserve">Connectors and chip sockets</t>
  </si>
  <si>
    <t xml:space="preserve">3 purchases</t>
  </si>
  <si>
    <t xml:space="preserve">Solder, flux and heat-shrink</t>
  </si>
  <si>
    <t xml:space="preserve">Copper and aluminium tape</t>
  </si>
  <si>
    <t xml:space="preserve">2 purchases</t>
  </si>
  <si>
    <t xml:space="preserve">Magnets</t>
  </si>
  <si>
    <t xml:space="preserve">Springs (v1 suspension)</t>
  </si>
  <si>
    <t xml:space="preserve">Standoffs and heat-set inserts</t>
  </si>
  <si>
    <t xml:space="preserve">3D printer plastic</t>
  </si>
  <si>
    <t xml:space="preserve">Microcontroller (Teensy 4.1)</t>
  </si>
  <si>
    <t xml:space="preserve">Bench power supply</t>
  </si>
  <si>
    <t xml:space="preserve">Oscilloscope</t>
  </si>
  <si>
    <t xml:space="preserve">Motor (original small stepper)</t>
  </si>
  <si>
    <t xml:space="preserve">Piezo discs (v1 scanner)</t>
  </si>
  <si>
    <t xml:space="preserve">Tip wire (tungsten)</t>
  </si>
  <si>
    <t xml:space="preserve">Gold leaf (v1 sample)</t>
  </si>
  <si>
    <t xml:space="preserve">Aluminium disc</t>
  </si>
  <si>
    <t xml:space="preserve">Prototype board kit</t>
  </si>
  <si>
    <t xml:space="preserve">Tweezers, wrist strap, applicators and wipes</t>
  </si>
  <si>
    <t xml:space="preserve">Other small items (receipts unreadable)</t>
  </si>
  <si>
    <t xml:space="preserve">v1 TOTAL</t>
  </si>
  <si>
    <t xml:space="preserve">STM v2 at UCSD: budget</t>
  </si>
  <si>
    <t xml:space="preserve">What this is: a scanning tunneling microscope (STM) images individual atoms by holding a sharp metal tip a few atoms above a sample and measuring the tiny electric current that flows across the gap. This sheet lists everything needed to build a second one (v2) at UCSD. Prices checked 21 October 2026, in US dollars. Sections 1 to 7 are the parts we must buy for a complete, working microscope, which runs entirely on batteries (section 7). Section 8 is an optional upgrade to a piezo tube scanner, switched on or off with one Yes/No choice. Section 9 lists items UCSD labs may already have; marking one Yes takes it off the total.</t>
  </si>
  <si>
    <t xml:space="preserve">Summary</t>
  </si>
  <si>
    <t xml:space="preserve">Total request as currently set (upgrade switch and section 9 choices)</t>
  </si>
  <si>
    <t xml:space="preserve">Without the piezo upgrade, UCSD supplies nothing</t>
  </si>
  <si>
    <t xml:space="preserve">Without the piezo upgrade, UCSD supplies everything in section 9</t>
  </si>
  <si>
    <t xml:space="preserve">With the piezo upgrade, UCSD supplies nothing</t>
  </si>
  <si>
    <t xml:space="preserve">With the piezo upgrade, UCSD supplies everything in section 9</t>
  </si>
  <si>
    <t xml:space="preserve">What v1 actually cost, for comparison</t>
  </si>
  <si>
    <t xml:space="preserve">What it does</t>
  </si>
  <si>
    <t xml:space="preserve">New in v2? Why</t>
  </si>
  <si>
    <t xml:space="preserve">Vendor</t>
  </si>
  <si>
    <t xml:space="preserve">Part number</t>
  </si>
  <si>
    <t xml:space="preserve">Price each</t>
  </si>
  <si>
    <t xml:space="preserve">Total</t>
  </si>
  <si>
    <t xml:space="preserve">Link</t>
  </si>
  <si>
    <t xml:space="preserve">1. Scanner (moves the tip over the sample)</t>
  </si>
  <si>
    <t xml:space="preserve">Piezo disc</t>
  </si>
  <si>
    <t xml:space="preserve">A thin ceramic disc that flexes very slightly when voltage is applied. It moves the tip across the sample and up and down, in steps smaller than an atom. The main board drives it directly, so it needs no extra electronics. A pack of 30, because discs are easily damaged by soldering heat.</t>
  </si>
  <si>
    <t xml:space="preserve">Same as v1. Price is what v1 paid.</t>
  </si>
  <si>
    <t xml:space="preserve">Amazon</t>
  </si>
  <si>
    <t xml:space="preserve">JESSINIE 18 mm piezo discs, 30 pcs</t>
  </si>
  <si>
    <t xml:space="preserve">2. Coarse approach (brings the sample close to the tip)</t>
  </si>
  <si>
    <t xml:space="preserve">Motor</t>
  </si>
  <si>
    <t xml:space="preserve">A motor that turns in small, precise steps. It slowly turns one adjustment screw to bring the sample up to the tip, then the piezo takes over. Joined to the screw by a 3D-printed coupler and powered by AA batteries (section 7).</t>
  </si>
  <si>
    <t xml:space="preserve">New. Replaces v1's small toy-grade motor. Finer steps lower the risk of crashing the tip into the sample.</t>
  </si>
  <si>
    <t xml:space="preserve">Adafruit</t>
  </si>
  <si>
    <t xml:space="preserve">324 (standard NEMA-17 size)</t>
  </si>
  <si>
    <t xml:space="preserve">Motor controller</t>
  </si>
  <si>
    <t xml:space="preserve">A small board that lets the microcontroller (section 3) move the motor in tiny fractions of a step.</t>
  </si>
  <si>
    <t xml:space="preserve">New. Needed to run the new motor.</t>
  </si>
  <si>
    <t xml:space="preserve">6121</t>
  </si>
  <si>
    <t xml:space="preserve">Adjustment screws</t>
  </si>
  <si>
    <t xml:space="preserve">Very fine-thread screws, 1.25 in long, that hold and level the sample plate. One full turn moves only 0.3 mm. The motor turns one of them, and the other two are set by hand.</t>
  </si>
  <si>
    <t xml:space="preserve">Changed length. v1 bought 2 in screws, which were too long for the design: the extra length made the head taller and less steady. 1.25 in fits the design with the metal inserts below.</t>
  </si>
  <si>
    <t xml:space="preserve">Thorlabs</t>
  </si>
  <si>
    <t xml:space="preserve">FAS125</t>
  </si>
  <si>
    <t xml:space="preserve">Threaded metal inserts</t>
  </si>
  <si>
    <t xml:space="preserve">Metal inserts set into the printed frame, so the screws turn in metal threads rather than plastic.</t>
  </si>
  <si>
    <t xml:space="preserve">New. In v1 the screws turned in printed plastic, which wears and loosens.</t>
  </si>
  <si>
    <t xml:space="preserve">F25SSN1</t>
  </si>
  <si>
    <t xml:space="preserve">3. Control electronics (runs the microscope)</t>
  </si>
  <si>
    <t xml:space="preserve">Main circuit boards</t>
  </si>
  <si>
    <t xml:space="preserve">The main board makes the scan signals and reads the tip current. The factory solders most parts on. 2 boards: one to use and one spare.</t>
  </si>
  <si>
    <t xml:space="preserve">Same as v1. Same design, priced at what v1 paid in July 2026.</t>
  </si>
  <si>
    <t xml:space="preserve">JLCPCB</t>
  </si>
  <si>
    <t xml:space="preserve">custom (v1 design)</t>
  </si>
  <si>
    <t xml:space="preserve">Spare bare main boards</t>
  </si>
  <si>
    <t xml:space="preserve">The factory makes at least 5 boards. 2 come assembled (above), and these 3 come bare at a small extra cost.</t>
  </si>
  <si>
    <t xml:space="preserve">Same as v1.</t>
  </si>
  <si>
    <t xml:space="preserve">custom</t>
  </si>
  <si>
    <t xml:space="preserve">Amplifier chip for the main board</t>
  </si>
  <si>
    <t xml:space="preserve">One chip the factory could not supply, so we buy it and solder it on ourselves. 1 plus 1 spare.</t>
  </si>
  <si>
    <t xml:space="preserve">DigiKey</t>
  </si>
  <si>
    <t xml:space="preserve">LT1469</t>
  </si>
  <si>
    <t xml:space="preserve">Microcontroller</t>
  </si>
  <si>
    <t xml:space="preserve">A small computer board that runs the microscope and talks to the laptop. Powered by the laptop's USB cable, so it needs no battery.</t>
  </si>
  <si>
    <t xml:space="preserve">SparkFun</t>
  </si>
  <si>
    <t xml:space="preserve">Teensy 4.1</t>
  </si>
  <si>
    <t xml:space="preserve">4. Preamp (amplifies the tiny tip current)</t>
  </si>
  <si>
    <t xml:space="preserve">Preamp circuit boards</t>
  </si>
  <si>
    <t xml:space="preserve">The current between tip and sample is about a billionth of an amp. This board turns it into a voltage the main board can read. The factory solders most parts on. 2 boards: one to use and one spare.</t>
  </si>
  <si>
    <t xml:space="preserve">Updated. v1's board was missing a ground connection, which made readings unreliable; the v2 design fixes it. Same size, priced at what v1 paid.</t>
  </si>
  <si>
    <t xml:space="preserve">custom (v2 preamp design)</t>
  </si>
  <si>
    <t xml:space="preserve">Spare bare preamp boards</t>
  </si>
  <si>
    <t xml:space="preserve">Resistor</t>
  </si>
  <si>
    <t xml:space="preserve">Sets how strongly the preamp amplifies. Soldered on by hand. 1 plus 1 spare.</t>
  </si>
  <si>
    <t xml:space="preserve">Changed. 1 billion ohms instead of v1's 100 million gives a 10 times stronger signal. Recommended by Baird Bankovic, a Cornell graduate student who advises the project.</t>
  </si>
  <si>
    <t xml:space="preserve">Ohmite SM104031007FE</t>
  </si>
  <si>
    <t xml:space="preserve">Insulated post</t>
  </si>
  <si>
    <t xml:space="preserve">A small Teflon post where the tip wire joins the preamp, so no stray current leaks in. 1 plus 1 spare.</t>
  </si>
  <si>
    <t xml:space="preserve">Keystone 11301</t>
  </si>
  <si>
    <t xml:space="preserve">Copper tape</t>
  </si>
  <si>
    <t xml:space="preserve">Sticky copper foil wrapped around the preamp box. It blocks electrical noise from reaching the tiny tip current.</t>
  </si>
  <si>
    <t xml:space="preserve">Same kind as v1. Listed here because general labs rarely stock it.</t>
  </si>
  <si>
    <t xml:space="preserve">Kirecoo copper foil tape, 2 in x 33 ft</t>
  </si>
  <si>
    <t xml:space="preserve">5. Sample plate and frame</t>
  </si>
  <si>
    <t xml:space="preserve">1 kg spool of carbon-fiber reinforced plastic for printing the head, sample plate and frame.</t>
  </si>
  <si>
    <t xml:space="preserve">Changed. Stiffer than v1's nylon, and cheaper.</t>
  </si>
  <si>
    <t xml:space="preserve">SUNLU</t>
  </si>
  <si>
    <t xml:space="preserve">PETG-CF, 1 kg</t>
  </si>
  <si>
    <t xml:space="preserve">Steel balls</t>
  </si>
  <si>
    <t xml:space="preserve">Hardened steel balls (4.6 mm, pack of 100) that give the three screw tips hard, fixed resting points.</t>
  </si>
  <si>
    <t xml:space="preserve">New. Make the sample plate sit in exactly the same place every time.</t>
  </si>
  <si>
    <t xml:space="preserve">uxcell 0.18 in, 100 pcs</t>
  </si>
  <si>
    <t xml:space="preserve">Sample discs</t>
  </si>
  <si>
    <t xml:space="preserve">Pack of 50 small steel discs (12 mm). The graphite sample is glued to one, and a magnet holds it on the plate.</t>
  </si>
  <si>
    <t xml:space="preserve">New. A magnet replaces v1's springs and rubber bands, which let the sample move.</t>
  </si>
  <si>
    <t xml:space="preserve">Ted Pella</t>
  </si>
  <si>
    <t xml:space="preserve">16208, pack of 50</t>
  </si>
  <si>
    <t xml:space="preserve">Small, strong magnets set into the sample plate. They hold the steel sample disc firmly in place.</t>
  </si>
  <si>
    <t xml:space="preserve">Same kind as v1. Listed here because general labs rarely stock them.</t>
  </si>
  <si>
    <t xml:space="preserve">TRYMAG small neodymium magnets</t>
  </si>
  <si>
    <t xml:space="preserve">Vibration pads</t>
  </si>
  <si>
    <t xml:space="preserve">Pads of vibration-absorbing rubber under the microscope that soak up building vibration. Estimate: this size's price was not shown online.</t>
  </si>
  <si>
    <t xml:space="preserve">New. Replace v1's platform hung on springs.</t>
  </si>
  <si>
    <t xml:space="preserve">Isolate It</t>
  </si>
  <si>
    <t xml:space="preserve">Sorbothane 6x6 in, 2-pack</t>
  </si>
  <si>
    <t xml:space="preserve">6. Sensors</t>
  </si>
  <si>
    <t xml:space="preserve">Temperature sensors</t>
  </si>
  <si>
    <t xml:space="preserve">Measure temperature at the head and the preamp. 2 sensors.</t>
  </si>
  <si>
    <t xml:space="preserve">New. Show whether the image slowly drifting is caused by temperature changes.</t>
  </si>
  <si>
    <t xml:space="preserve">4821 (TMP117)</t>
  </si>
  <si>
    <t xml:space="preserve">7. Power (batteries, no wall power)</t>
  </si>
  <si>
    <t xml:space="preserve">9 V batteries</t>
  </si>
  <si>
    <t xml:space="preserve">One full set is 8 batteries: 6 for the main board (3 stacked on each side to make about 27 V, which the board steadies to 15 V) and 2 for the preamp. Two 12-packs give three full sets.</t>
  </si>
  <si>
    <t xml:space="preserve">New. v1 ran from a plug-in bench power supply. Batteries keep electrical noise from the wall out of the tiny tip current (Baird Bankovic's advice). Any 9 V alkaline works.</t>
  </si>
  <si>
    <t xml:space="preserve">Battery Junction</t>
  </si>
  <si>
    <t xml:space="preserve">Energizer Industrial EN22, 12-pack</t>
  </si>
  <si>
    <t xml:space="preserve">9 V battery clips</t>
  </si>
  <si>
    <t xml:space="preserve">Snap onto the 9 V batteries and connect them with wire. 8 plus 2 spares.</t>
  </si>
  <si>
    <t xml:space="preserve">New. Goes with the batteries.</t>
  </si>
  <si>
    <t xml:space="preserve">Keystone 232</t>
  </si>
  <si>
    <t xml:space="preserve">AA batteries</t>
  </si>
  <si>
    <t xml:space="preserve">8 AA batteries in a row make the 12 V the motor needs. The 24-pack gives three sets.</t>
  </si>
  <si>
    <t xml:space="preserve">New. Replaces the bench power supply for the motor.</t>
  </si>
  <si>
    <t xml:space="preserve">Energizer Industrial EN91, 24-pack</t>
  </si>
  <si>
    <t xml:space="preserve">AA battery holder</t>
  </si>
  <si>
    <t xml:space="preserve">Holds 8 AA batteries and connects them to the motor controller. 1 plus 1 spare.</t>
  </si>
  <si>
    <t xml:space="preserve">New. Goes with the AA batteries.</t>
  </si>
  <si>
    <t xml:space="preserve">449</t>
  </si>
  <si>
    <t xml:space="preserve">All parts in sections 1 to 7</t>
  </si>
  <si>
    <t xml:space="preserve">For sections 1 to 7. Estimates by seller: JLCPCB $25.00, Thorlabs $15.26, Ted Pella $15.00, Adafruit $10.00, Isolate It $10.00, Battery Junction $10.00, DigiKey $8.49, SparkFun $8.00, SUNLU $5.00. Amazon items ship free. Standard (not express) shipping everywhere, and the small electronic parts ship in the same box as the circuit boards.</t>
  </si>
  <si>
    <t xml:space="preserve">Import tariff on circuit boards</t>
  </si>
  <si>
    <t xml:space="preserve">The US charges a 35% import tariff on circuit boards and parts from China. Applied to the $487.06 of boards and parts from JLCPCB and LCSC. Cannot be avoided by changing shipping; only US-made boards would avoid it, and those cost more.</t>
  </si>
  <si>
    <t xml:space="preserve">Other import fees</t>
  </si>
  <si>
    <t xml:space="preserve">The small tariff charge DigiKey adds to imported chips (about 8%).</t>
  </si>
  <si>
    <t xml:space="preserve">Shipping and import fees, total</t>
  </si>
  <si>
    <t xml:space="preserve">UCSD purchasing may have its own shipping accounts or negotiated rates with these sellers, which could lower this. Not counted here.</t>
  </si>
  <si>
    <t xml:space="preserve">8. Optional: piezo tube upgrade. Choose Yes or No in the switch below</t>
  </si>
  <si>
    <t xml:space="preserve">Prof. Vasquez suggested replacing the flat piezo disc with a piezo tube, which should scan more steadily. Our piezo study agrees, but recommends first fixing the sample mounting and checking temperature drift, because those cause most of v1's unsteadiness. The microscope works without this section. Choose Yes or No in the switch to add it to or remove it from the total.</t>
  </si>
  <si>
    <t xml:space="preserve">Include the piezo tube upgrade?</t>
  </si>
  <si>
    <t xml:space="preserve">Switch:</t>
  </si>
  <si>
    <t xml:space="preserve">Yes</t>
  </si>
  <si>
    <t xml:space="preserve">Include?</t>
  </si>
  <si>
    <t xml:space="preserve">Piezo tube</t>
  </si>
  <si>
    <t xml:space="preserve">A ceramic tube that bends and stretches very slightly when voltage is applied. It moves the tip across the sample and up and down, in steps smaller than an atom.</t>
  </si>
  <si>
    <t xml:space="preserve">Replaces the piezo disc in section 1. Prof. Vasquez suggested a tube for steadier scanning.</t>
  </si>
  <si>
    <t xml:space="preserve">PiezoDrive</t>
  </si>
  <si>
    <t xml:space="preserve">TB3006-N</t>
  </si>
  <si>
    <t xml:space="preserve">Mount and wiring</t>
  </si>
  <si>
    <t xml:space="preserve">Ceramic mounting block</t>
  </si>
  <si>
    <t xml:space="preserve">A small block of machinable ceramic that the tube is glued to. It holds the tube rigidly and insulates it electrically. Estimate; it needs a few holes drilled. If drilling is not possible, an aluminium block with an insulating epoxy layer is the fallback.</t>
  </si>
  <si>
    <t xml:space="preserve">New. Needed to mount the tube.</t>
  </si>
  <si>
    <t xml:space="preserve">Macor rod or plate offcut</t>
  </si>
  <si>
    <t xml:space="preserve">Structural epoxy</t>
  </si>
  <si>
    <t xml:space="preserve">Strong glue that bonds the tube to its mounting block. Estimate.</t>
  </si>
  <si>
    <t xml:space="preserve">New. v1's parts were held with superglue, which gives off fumes that contaminate the electronics.</t>
  </si>
  <si>
    <t xml:space="preserve">Loctite EA E-30CL or similar</t>
  </si>
  <si>
    <t xml:space="preserve">Conductive silver epoxy</t>
  </si>
  <si>
    <t xml:space="preserve">Glue that conducts electricity. It attaches the wires to the tube's contacts without soldering heat, which can damage the tube. Estimate.</t>
  </si>
  <si>
    <t xml:space="preserve">New. Needed to wire the tube.</t>
  </si>
  <si>
    <t xml:space="preserve">CW2400 or similar</t>
  </si>
  <si>
    <t xml:space="preserve">Tip holder tubing</t>
  </si>
  <si>
    <t xml:space="preserve">Short pieces of thin stainless steel tube that grip the scanning tip at the end of the piezo tube. Estimate.</t>
  </si>
  <si>
    <t xml:space="preserve">New. Replaces v1's glued tip holder.</t>
  </si>
  <si>
    <t xml:space="preserve">stainless hypodermic tubing, about 23 gauge</t>
  </si>
  <si>
    <t xml:space="preserve">Thin shielded tip cable</t>
  </si>
  <si>
    <t xml:space="preserve">Very thin (about 1 mm) shielded cable that carries the tiny tip current to the preamp. 1 m. Estimate.</t>
  </si>
  <si>
    <t xml:space="preserve">New. The tip now moves with the tube, so its cable must be thin and flexible.</t>
  </si>
  <si>
    <t xml:space="preserve">micro-coax, about 1 mm, 1 m</t>
  </si>
  <si>
    <t xml:space="preserve">High-voltage box</t>
  </si>
  <si>
    <t xml:space="preserve">Metal box that holds the high-voltage driver board (below), keeping the 45 V away from fingers and blocking electrical noise. Estimate.</t>
  </si>
  <si>
    <t xml:space="preserve">New. The driver sits in its own box, between the main board and the microscope.</t>
  </si>
  <si>
    <t xml:space="preserve">diecast aluminium, about 112 x 60 x 31 mm</t>
  </si>
  <si>
    <t xml:space="preserve">9-pin connectors</t>
  </si>
  <si>
    <t xml:space="preserve">Plugs and sockets that connect the high-voltage box to the main board and to the microscope head. Estimate.</t>
  </si>
  <si>
    <t xml:space="preserve">New. Goes with the high-voltage box.</t>
  </si>
  <si>
    <t xml:space="preserve">DB9 plug and socket with covers</t>
  </si>
  <si>
    <t xml:space="preserve">High-voltage cable</t>
  </si>
  <si>
    <t xml:space="preserve">Shielded cable with 5 wires, rated for at least 100 V, from the high-voltage box to the microscope head. 1 m. Estimate.</t>
  </si>
  <si>
    <t xml:space="preserve">New. Carries the 45 V signals to the tube.</t>
  </si>
  <si>
    <t xml:space="preserve">5-core shielded cable, 1 m</t>
  </si>
  <si>
    <t xml:space="preserve">Test capacitors</t>
  </si>
  <si>
    <t xml:space="preserve">Small capacitors that stand in for the tube when the high-voltage box is first tested, so a wiring mistake cannot crack the tube. 4 plus 4 spares. Estimate.</t>
  </si>
  <si>
    <t xml:space="preserve">New. Protects the tube during testing.</t>
  </si>
  <si>
    <t xml:space="preserve">2.2 nF 100 V film</t>
  </si>
  <si>
    <t xml:space="preserve">Threaded inserts and screws</t>
  </si>
  <si>
    <t xml:space="preserve">Small metal inserts melted into the printed plate, with screws, to fix the mounting block to the head. Estimate.</t>
  </si>
  <si>
    <t xml:space="preserve">M3 heat-set inserts and screws</t>
  </si>
  <si>
    <t xml:space="preserve">High-voltage driver (powers the tube)</t>
  </si>
  <si>
    <t xml:space="preserve">Amplifier chips</t>
  </si>
  <si>
    <t xml:space="preserve">The tube has 4 outer electrical contacts that move it; the inner one is simply connected to ground. Each outer contact needs its own amplifier chip to raise the control signal to about 45 V. 4 chips plus 1 spare. Powered by the extra batteries below.</t>
  </si>
  <si>
    <t xml:space="preserve">New. The tube needs far more voltage than the main board can supply.</t>
  </si>
  <si>
    <t xml:space="preserve">LCSC</t>
  </si>
  <si>
    <t xml:space="preserve">OPA454</t>
  </si>
  <si>
    <t xml:space="preserve">Small electronic parts</t>
  </si>
  <si>
    <t xml:space="preserve">Resistors, capacitors, connectors and heat sinks for the high-voltage board. Estimate, capped at $40; listed exactly once the circuit is drawn.</t>
  </si>
  <si>
    <t xml:space="preserve">New. Part of the high-voltage driver.</t>
  </si>
  <si>
    <t xml:space="preserve">to be listed</t>
  </si>
  <si>
    <t xml:space="preserve">Circuit boards for the driver</t>
  </si>
  <si>
    <t xml:space="preserve">Blank boards for the high-voltage circuit, made by the same factory as the other boards. The factory's smallest order is 5.</t>
  </si>
  <si>
    <t xml:space="preserve">Extra batteries for the high-voltage driver</t>
  </si>
  <si>
    <t xml:space="preserve">Extra 9 V batteries</t>
  </si>
  <si>
    <t xml:space="preserve">10 more batteries for the high-voltage driver (5 stacked on each side to make about 45 V). One 12-pack, which with section 7 gives two full sets.</t>
  </si>
  <si>
    <t xml:space="preserve">New. The high-voltage driver runs on batteries like the rest of the microscope.</t>
  </si>
  <si>
    <t xml:space="preserve">Extra 9 V battery clips</t>
  </si>
  <si>
    <t xml:space="preserve">For the 10 extra batteries.</t>
  </si>
  <si>
    <t xml:space="preserve">Optional extras: choose Yes in the last column to include</t>
  </si>
  <si>
    <t xml:space="preserve">Spare piezo tube</t>
  </si>
  <si>
    <t xml:space="preserve">A second tube in the same shipment. Tubes can crack while being glued and wired, and a replacement takes 2 to 4 weeks to arrive from Australia.</t>
  </si>
  <si>
    <t xml:space="preserve">New. Recommended by the piezo study.</t>
  </si>
  <si>
    <t xml:space="preserve">No</t>
  </si>
  <si>
    <t xml:space="preserve">Metal head plate</t>
  </si>
  <si>
    <t xml:space="preserve">An aluminium plate, cut by a laser or waterjet service and drilled, that holds the tube more rigidly than a printed plate. Needs machining, which the rest of v2 avoids. Estimate; needs a quote.</t>
  </si>
  <si>
    <t xml:space="preserve">New. Metal holds its shape better than printed plastic as the room warms and cools.</t>
  </si>
  <si>
    <t xml:space="preserve">SendCutSend or similar</t>
  </si>
  <si>
    <t xml:space="preserve">aluminium blank, cut and drilled</t>
  </si>
  <si>
    <t xml:space="preserve">Upgrade parts</t>
  </si>
  <si>
    <t xml:space="preserve">Shipping and import fees for the upgrade</t>
  </si>
  <si>
    <t xml:space="preserve">The piezo tube ships by courier from Australia (seller's estimate). The other upgrade parts ride in the same boxes as sections 1 to 7.</t>
  </si>
  <si>
    <t xml:space="preserve">35% on the driver's chips, parts and boards from LCSC and JLCPCB.</t>
  </si>
  <si>
    <t xml:space="preserve">About 10% import duty on the tube (and the spare, if chosen), the courier's customs fee (the seller says $30 to $100; $65 used), and DigiKey's 8% tariff charge.</t>
  </si>
  <si>
    <t xml:space="preserve">Upgrade shipping and fees</t>
  </si>
  <si>
    <t xml:space="preserve">Upgrade, counted in the total</t>
  </si>
  <si>
    <t xml:space="preserve">Parts plus shipping and fees, before tax and spare money. Zero when the switch is No.</t>
  </si>
  <si>
    <t xml:space="preserve">9. Things UCSD may already have: choose Yes in the last column if UCSD will provide it, and it comes off the total</t>
  </si>
  <si>
    <t xml:space="preserve">Free from UCSD?</t>
  </si>
  <si>
    <t xml:space="preserve">Scanning tips</t>
  </si>
  <si>
    <t xml:space="preserve">10 ready-made platinum-iridium tips. The tip is the needle that scans the sample. Platinum-iridium does not rust in air, so the tip stays sharp.</t>
  </si>
  <si>
    <t xml:space="preserve">Changed. v1 used tungsten wire, which corrodes in air.</t>
  </si>
  <si>
    <t xml:space="preserve">Bruker</t>
  </si>
  <si>
    <t xml:space="preserve">DPT10</t>
  </si>
  <si>
    <t xml:space="preserve">Graphite test sample</t>
  </si>
  <si>
    <t xml:space="preserve">Very flat graphite (called HOPG), the standard sample for seeing individual atoms. 10 x 10 mm.</t>
  </si>
  <si>
    <t xml:space="preserve">New. v1 tested on gold leaf, which is too rough to show atoms.</t>
  </si>
  <si>
    <t xml:space="preserve">NanoAndMore</t>
  </si>
  <si>
    <t xml:space="preserve">HOPG ZYH</t>
  </si>
  <si>
    <t xml:space="preserve">Silver glue</t>
  </si>
  <si>
    <t xml:space="preserve">Glue that conducts electricity. It fixes the graphite sample to its disc so current can flow through it.</t>
  </si>
  <si>
    <t xml:space="preserve">New. Goes with the graphite sample.</t>
  </si>
  <si>
    <t xml:space="preserve">MG Chemicals</t>
  </si>
  <si>
    <t xml:space="preserve">8331D-14G</t>
  </si>
  <si>
    <t xml:space="preserve">Heavy stone base</t>
  </si>
  <si>
    <t xml:space="preserve">Granite slab, 9 x 12 in, that the microscope sits on. The weight steadies it against vibration.</t>
  </si>
  <si>
    <t xml:space="preserve">New. Extra protection against vibration.</t>
  </si>
  <si>
    <t xml:space="preserve">Penn Tool Co</t>
  </si>
  <si>
    <t xml:space="preserve">Grizzly G9649</t>
  </si>
  <si>
    <t xml:space="preserve">Test instrument for checking the boards and signals.</t>
  </si>
  <si>
    <t xml:space="preserve">Same kind of item as v1. v2 is a separate instrument, so nothing is taken from v1.</t>
  </si>
  <si>
    <t xml:space="preserve">FNIRSI DST-201</t>
  </si>
  <si>
    <t xml:space="preserve">LCR meter</t>
  </si>
  <si>
    <t xml:space="preserve">A handheld meter that measures capacitance. Used to check each of the tube's contacts before and after wiring. Only needed with the piezo tube upgrade (section 8), so it is not counted when the switch is No. Estimate.</t>
  </si>
  <si>
    <t xml:space="preserve">New. Confirms the tube was not damaged during assembly.</t>
  </si>
  <si>
    <t xml:space="preserve">handheld LCR meter, 1 kHz</t>
  </si>
  <si>
    <t xml:space="preserve">Interferometer parts</t>
  </si>
  <si>
    <t xml:space="preserve">A small laser, a beam splitter, two mirrors and a light sensor. Together they measure exactly how far the scanner moves per volt, which calibrates the images. Estimate.</t>
  </si>
  <si>
    <t xml:space="preserve">New. Calibrates the scanner.</t>
  </si>
  <si>
    <t xml:space="preserve">laser diode, beamsplitter cube, 2 mirrors, photodiode, mounts</t>
  </si>
  <si>
    <t xml:space="preserve">Soldering iron</t>
  </si>
  <si>
    <t xml:space="preserve">For soldering parts onto the boards.</t>
  </si>
  <si>
    <t xml:space="preserve">PINE64</t>
  </si>
  <si>
    <t xml:space="preserve">Pinecil V2</t>
  </si>
  <si>
    <t xml:space="preserve">Solder and flux</t>
  </si>
  <si>
    <t xml:space="preserve">Solder paste and flux for the hand-soldered parts. Price is what v1 paid.</t>
  </si>
  <si>
    <t xml:space="preserve">as bought for v1</t>
  </si>
  <si>
    <t xml:space="preserve">Heat-shrink</t>
  </si>
  <si>
    <t xml:space="preserve">Plastic sleeves that shrink with heat to insulate wire joints. Price is what v1 paid.</t>
  </si>
  <si>
    <t xml:space="preserve">Wire</t>
  </si>
  <si>
    <t xml:space="preserve">Jumper wire, very thin wire for the piezo, and shielded wire for the tip. Price is what v1 paid.</t>
  </si>
  <si>
    <t xml:space="preserve">Cables</t>
  </si>
  <si>
    <t xml:space="preserve">Ribbon cable to the microcontroller, two 9-pin cables to the scan head, and a USB cable. Price is what v1 paid.</t>
  </si>
  <si>
    <t xml:space="preserve">Connectors</t>
  </si>
  <si>
    <t xml:space="preserve">Pin headers and chip sockets for the boards. Price is what v1 paid.</t>
  </si>
  <si>
    <t xml:space="preserve">Screws</t>
  </si>
  <si>
    <t xml:space="preserve">Small screws for the 3D-printed parts. Price is what v1 paid.</t>
  </si>
  <si>
    <t xml:space="preserve">Tweezers, wrist strap and wipes</t>
  </si>
  <si>
    <t xml:space="preserve">Tweezers for small parts, an anti-static wrist strap that protects the chips, and lint-free wipes. Price is what v1 paid.</t>
  </si>
  <si>
    <t xml:space="preserve">Subtotal (items not marked Yes)</t>
  </si>
  <si>
    <t xml:space="preserve">TOTAL</t>
  </si>
  <si>
    <t xml:space="preserve">Parts</t>
  </si>
  <si>
    <t xml:space="preserve">Sections 1 to 7, the upgrade parts if the switch is Yes, and section 9 items not marked Yes</t>
  </si>
  <si>
    <t xml:space="preserve">Shipping and import fees</t>
  </si>
  <si>
    <t xml:space="preserve">Sales tax (7.75%)</t>
  </si>
  <si>
    <t xml:space="preserve">Spare money for surprises (10%)</t>
  </si>
  <si>
    <t xml:space="preserve">TOTAL REQUEST</t>
  </si>
  <si>
    <t xml:space="preserve">Room left under $2,000</t>
  </si>
  <si>
    <t xml:space="preserve">Negative means over budget</t>
  </si>
  <si>
    <t xml:space="preserve">The four cases side by side</t>
  </si>
  <si>
    <t xml:space="preserve">Case</t>
  </si>
  <si>
    <t xml:space="preserve">Shipping and fees</t>
  </si>
  <si>
    <t xml:space="preserve">Sales tax</t>
  </si>
  <si>
    <t xml:space="preserve">Spare money (10%)</t>
  </si>
  <si>
    <t xml:space="preserve">Without the upgrade, UCSD supplies nothing</t>
  </si>
  <si>
    <t xml:space="preserve">Without the upgrade, UCSD supplies everything in section 9</t>
  </si>
  <si>
    <t xml:space="preserve">With the upgrade, UCSD supplies nothing</t>
  </si>
  <si>
    <t xml:space="preserve">With the upgrade, UCSD supplies everything in section 9</t>
  </si>
  <si>
    <t xml:space="preserve">Upgrade rows reflect the optional extras as currently chosen (spare tube and metal plate are No unless changed).</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</si>
</sst>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1F386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b val="true"/>
      <sz val="12"/>
      <name val="Cambria"/>
      <family val="0"/>
      <charset val="1"/>
    </font>
    <font>
      <b val="true"/>
      <sz val="12"/>
      <color rgb="FF1F3864"/>
      <name val="Cambria"/>
      <family val="0"/>
      <charset val="1"/>
    </font>
    <font>
      <u val="single"/>
      <sz val="11"/>
      <color rgb="FF0563C1"/>
      <name val="Cambria"/>
      <family val="0"/>
      <charset val="1"/>
    </font>
    <font>
      <b val="true"/>
      <sz val="11"/>
      <color rgb="FF1F3864"/>
      <name val="Cambria"/>
      <family val="0"/>
      <charset val="1"/>
    </font>
  </fonts>
  <fills count="12">
    <fill>
      <patternFill patternType="none"/>
    </fill>
    <fill>
      <patternFill patternType="gray125"/>
    </fill>
    <fill>
      <patternFill patternType="solid">
        <fgColor rgb="FF1F3864"/>
        <bgColor rgb="FF333333"/>
      </patternFill>
    </fill>
    <fill>
      <patternFill patternType="solid">
        <fgColor rgb="FFD9E2F3"/>
        <bgColor rgb="FFEDE3F5"/>
      </patternFill>
    </fill>
    <fill>
      <patternFill patternType="solid">
        <fgColor rgb="FFF2F2F2"/>
        <bgColor rgb="FFEDE3F5"/>
      </patternFill>
    </fill>
    <fill>
      <patternFill patternType="solid">
        <fgColor rgb="FFFFD966"/>
        <bgColor rgb="FFFFFF99"/>
      </patternFill>
    </fill>
    <fill>
      <patternFill patternType="solid">
        <fgColor rgb="FFFFF2CC"/>
        <bgColor rgb="FFF2F2F2"/>
      </patternFill>
    </fill>
    <fill>
      <patternFill patternType="solid">
        <fgColor rgb="FF7030A0"/>
        <bgColor rgb="FF993366"/>
      </patternFill>
    </fill>
    <fill>
      <patternFill patternType="solid">
        <fgColor rgb="FFEDE3F5"/>
        <bgColor rgb="FFD9E2F3"/>
      </patternFill>
    </fill>
    <fill>
      <patternFill patternType="solid">
        <fgColor rgb="FFFFFFFF"/>
        <bgColor rgb="FFF2F2F2"/>
      </patternFill>
    </fill>
    <fill>
      <patternFill patternType="solid">
        <fgColor rgb="FF548235"/>
        <bgColor rgb="FF339966"/>
      </patternFill>
    </fill>
    <fill>
      <patternFill patternType="solid">
        <fgColor rgb="FFE2EFDA"/>
        <bgColor rgb="FFF2F2F2"/>
      </patternFill>
    </fill>
  </fills>
  <borders count="3">
    <border diagonalUp="false" diagonalDown="false">
      <left/>
      <right/>
      <top/>
      <bottom/>
      <diagonal/>
    </border>
    <border diagonalUp="false" diagonalDown="false">
      <left/>
      <right/>
      <top style="thin">
        <color rgb="FF808080"/>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true" applyAlignment="false" applyProtection="false">
      <alignment horizontal="general" vertical="bottom" textRotation="0" wrapText="false" indent="0" shrinkToFit="false"/>
      <protection locked="true" hidden="false"/>
    </xf>
    <xf numFmtId="165" fontId="8" fillId="5" borderId="0" xfId="0" applyFont="true" applyBorder="false" applyAlignment="true" applyProtection="false">
      <alignment horizontal="left" vertical="bottom" textRotation="0" wrapText="false" indent="0" shrinkToFit="false"/>
      <protection locked="true" hidden="false"/>
    </xf>
    <xf numFmtId="164" fontId="7" fillId="6" borderId="0" xfId="0" applyFont="true" applyBorder="true" applyAlignment="false" applyProtection="false">
      <alignment horizontal="general" vertical="bottom" textRotation="0" wrapText="false" indent="0" shrinkToFit="false"/>
      <protection locked="true" hidden="false"/>
    </xf>
    <xf numFmtId="165" fontId="7" fillId="6"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true" applyProtection="false">
      <alignment horizontal="right" vertical="bottom" textRotation="0" wrapText="false" indent="0" shrinkToFit="false"/>
      <protection locked="true" hidden="false"/>
    </xf>
    <xf numFmtId="164" fontId="8" fillId="9" borderId="2" xfId="0" applyFont="true" applyBorder="true" applyAlignment="true" applyProtection="false">
      <alignment horizontal="center" vertical="bottom" textRotation="0" wrapText="false" indent="0" shrinkToFit="false"/>
      <protection locked="true" hidden="false"/>
    </xf>
    <xf numFmtId="164" fontId="6" fillId="7" borderId="0" xfId="0" applyFont="true" applyBorder="false" applyAlignment="true" applyProtection="false">
      <alignment horizontal="general" vertical="center" textRotation="0" wrapText="tru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0" fillId="9" borderId="2"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5" fontId="7" fillId="8" borderId="1" xfId="0" applyFont="true" applyBorder="true" applyAlignment="false" applyProtection="false">
      <alignment horizontal="general" vertical="bottom" textRotation="0" wrapText="fals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6" fillId="10" borderId="0" xfId="0" applyFont="true" applyBorder="false" applyAlignment="true" applyProtection="false">
      <alignment horizontal="general" vertical="center" textRotation="0" wrapText="true" indent="0" shrinkToFit="false"/>
      <protection locked="true" hidden="false"/>
    </xf>
    <xf numFmtId="164" fontId="0" fillId="11" borderId="0" xfId="0" applyFont="false" applyBorder="false" applyAlignment="true" applyProtection="false">
      <alignment horizontal="center" vertical="top" textRotation="0" wrapText="false" indent="0" shrinkToFit="false"/>
      <protection locked="true" hidden="false"/>
    </xf>
    <xf numFmtId="164" fontId="7" fillId="11" borderId="1" xfId="0" applyFont="true" applyBorder="true" applyAlignment="false" applyProtection="false">
      <alignment horizontal="general"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5" fontId="7" fillId="11" borderId="1"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EDE3F5"/>
      <rgbColor rgb="FFE2EFDA"/>
      <rgbColor rgb="FFFFFF99"/>
      <rgbColor rgb="FF99CCFF"/>
      <rgbColor rgb="FFFF99CC"/>
      <rgbColor rgb="FFCC99FF"/>
      <rgbColor rgb="FFFFD96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7"/>
    <col collapsed="false" customWidth="true" hidden="false" outlineLevel="0" max="3" min="3" style="0" width="13"/>
    <col collapsed="false" customWidth="true" hidden="false" outlineLevel="0" max="4" min="4" style="0" width="1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c r="C5" s="5"/>
      <c r="D5" s="5"/>
    </row>
    <row r="6" customFormat="false" ht="15" hidden="false" customHeight="false" outlineLevel="0" collapsed="false">
      <c r="A6" s="0" t="s">
        <v>7</v>
      </c>
      <c r="B6" s="0" t="n">
        <v>2</v>
      </c>
      <c r="C6" s="6" t="n">
        <v>419.27</v>
      </c>
    </row>
    <row r="7" customFormat="false" ht="15" hidden="false" customHeight="false" outlineLevel="0" collapsed="false">
      <c r="A7" s="0" t="s">
        <v>8</v>
      </c>
      <c r="B7" s="0" t="n">
        <v>2</v>
      </c>
      <c r="C7" s="6" t="n">
        <v>60.34</v>
      </c>
    </row>
    <row r="8" customFormat="false" ht="15" hidden="false" customHeight="false" outlineLevel="0" collapsed="false">
      <c r="A8" s="0" t="s">
        <v>9</v>
      </c>
      <c r="B8" s="0" t="n">
        <v>3</v>
      </c>
      <c r="C8" s="6" t="n">
        <v>5.04</v>
      </c>
    </row>
    <row r="9" customFormat="false" ht="15" hidden="false" customHeight="false" outlineLevel="0" collapsed="false">
      <c r="A9" s="0" t="s">
        <v>10</v>
      </c>
      <c r="B9" s="0" t="n">
        <v>3</v>
      </c>
      <c r="C9" s="6" t="n">
        <v>2.4</v>
      </c>
    </row>
    <row r="10" customFormat="false" ht="15" hidden="false" customHeight="false" outlineLevel="0" collapsed="false">
      <c r="A10" s="0" t="s">
        <v>11</v>
      </c>
      <c r="C10" s="6" t="n">
        <v>-20</v>
      </c>
    </row>
    <row r="11" customFormat="false" ht="15" hidden="false" customHeight="false" outlineLevel="0" collapsed="false">
      <c r="A11" s="0" t="s">
        <v>12</v>
      </c>
      <c r="C11" s="6" t="n">
        <v>50.3</v>
      </c>
    </row>
    <row r="12" customFormat="false" ht="15" hidden="false" customHeight="false" outlineLevel="0" collapsed="false">
      <c r="A12" s="0" t="s">
        <v>13</v>
      </c>
      <c r="C12" s="6" t="n">
        <v>163.48</v>
      </c>
    </row>
    <row r="13" customFormat="false" ht="15" hidden="false" customHeight="false" outlineLevel="0" collapsed="false">
      <c r="A13" s="0" t="s">
        <v>14</v>
      </c>
      <c r="C13" s="6" t="n">
        <v>29.2</v>
      </c>
    </row>
    <row r="14" customFormat="false" ht="15" hidden="false" customHeight="false" outlineLevel="0" collapsed="false">
      <c r="A14" s="7" t="s">
        <v>15</v>
      </c>
      <c r="B14" s="8"/>
      <c r="C14" s="9" t="n">
        <f aca="false">SUM(C6:C13)</f>
        <v>710.03</v>
      </c>
      <c r="D14" s="8"/>
    </row>
    <row r="16" customFormat="false" ht="15" hidden="false" customHeight="false" outlineLevel="0" collapsed="false">
      <c r="A16" s="4" t="s">
        <v>16</v>
      </c>
      <c r="B16" s="5"/>
      <c r="C16" s="5"/>
      <c r="D16" s="5"/>
    </row>
    <row r="17" customFormat="false" ht="15" hidden="false" customHeight="false" outlineLevel="0" collapsed="false">
      <c r="A17" s="0" t="s">
        <v>17</v>
      </c>
      <c r="B17" s="0" t="n">
        <v>3</v>
      </c>
      <c r="C17" s="6" t="n">
        <v>26.34</v>
      </c>
    </row>
    <row r="18" customFormat="false" ht="15" hidden="false" customHeight="false" outlineLevel="0" collapsed="false">
      <c r="A18" s="0" t="s">
        <v>12</v>
      </c>
      <c r="C18" s="6" t="n">
        <v>15.26</v>
      </c>
    </row>
    <row r="19" customFormat="false" ht="15" hidden="false" customHeight="false" outlineLevel="0" collapsed="false">
      <c r="A19" s="0" t="s">
        <v>14</v>
      </c>
      <c r="C19" s="6" t="n">
        <v>1.65</v>
      </c>
    </row>
    <row r="20" customFormat="false" ht="15" hidden="false" customHeight="false" outlineLevel="0" collapsed="false">
      <c r="A20" s="7" t="s">
        <v>15</v>
      </c>
      <c r="B20" s="8"/>
      <c r="C20" s="9" t="n">
        <f aca="false">SUM(C17:C19)</f>
        <v>43.25</v>
      </c>
      <c r="D20" s="8"/>
    </row>
    <row r="22" customFormat="false" ht="15" hidden="false" customHeight="false" outlineLevel="0" collapsed="false">
      <c r="A22" s="4" t="s">
        <v>18</v>
      </c>
      <c r="B22" s="5"/>
      <c r="C22" s="5"/>
      <c r="D22" s="5"/>
    </row>
    <row r="23" customFormat="false" ht="15" hidden="false" customHeight="false" outlineLevel="0" collapsed="false">
      <c r="A23" s="0" t="s">
        <v>19</v>
      </c>
      <c r="B23" s="0" t="n">
        <v>2</v>
      </c>
      <c r="C23" s="6" t="n">
        <v>32.7</v>
      </c>
    </row>
    <row r="24" customFormat="false" ht="15" hidden="false" customHeight="false" outlineLevel="0" collapsed="false">
      <c r="A24" s="0" t="s">
        <v>20</v>
      </c>
      <c r="B24" s="0" t="n">
        <v>4</v>
      </c>
      <c r="C24" s="6" t="n">
        <v>3.04</v>
      </c>
    </row>
    <row r="25" customFormat="false" ht="15" hidden="false" customHeight="false" outlineLevel="0" collapsed="false">
      <c r="A25" s="0" t="s">
        <v>21</v>
      </c>
      <c r="B25" s="0" t="n">
        <v>2</v>
      </c>
      <c r="C25" s="6" t="n">
        <v>5.62</v>
      </c>
    </row>
    <row r="26" customFormat="false" ht="15" hidden="false" customHeight="false" outlineLevel="0" collapsed="false">
      <c r="A26" s="0" t="s">
        <v>22</v>
      </c>
      <c r="B26" s="0" t="n">
        <v>2</v>
      </c>
      <c r="C26" s="6" t="n">
        <v>4.18</v>
      </c>
    </row>
    <row r="27" customFormat="false" ht="15" hidden="false" customHeight="false" outlineLevel="0" collapsed="false">
      <c r="A27" s="0" t="s">
        <v>12</v>
      </c>
      <c r="C27" s="6" t="n">
        <v>25.47</v>
      </c>
    </row>
    <row r="28" customFormat="false" ht="15" hidden="false" customHeight="false" outlineLevel="0" collapsed="false">
      <c r="A28" s="0" t="s">
        <v>13</v>
      </c>
      <c r="C28" s="6" t="n">
        <v>4.67</v>
      </c>
    </row>
    <row r="29" customFormat="false" ht="15" hidden="false" customHeight="false" outlineLevel="0" collapsed="false">
      <c r="A29" s="0" t="s">
        <v>14</v>
      </c>
      <c r="C29" s="6" t="n">
        <v>3.14</v>
      </c>
    </row>
    <row r="30" customFormat="false" ht="15" hidden="false" customHeight="false" outlineLevel="0" collapsed="false">
      <c r="A30" s="7" t="s">
        <v>15</v>
      </c>
      <c r="B30" s="8"/>
      <c r="C30" s="9" t="n">
        <f aca="false">SUM(C23:C29)</f>
        <v>78.82</v>
      </c>
      <c r="D30" s="8"/>
    </row>
    <row r="32" customFormat="false" ht="15" hidden="false" customHeight="false" outlineLevel="0" collapsed="false">
      <c r="A32" s="4" t="s">
        <v>23</v>
      </c>
      <c r="B32" s="5"/>
      <c r="C32" s="5"/>
      <c r="D32" s="5"/>
    </row>
    <row r="33" customFormat="false" ht="15" hidden="false" customHeight="false" outlineLevel="0" collapsed="false">
      <c r="A33" s="0" t="s">
        <v>24</v>
      </c>
      <c r="C33" s="6" t="n">
        <v>45.09</v>
      </c>
      <c r="D33" s="10" t="s">
        <v>25</v>
      </c>
    </row>
    <row r="34" customFormat="false" ht="15" hidden="false" customHeight="false" outlineLevel="0" collapsed="false">
      <c r="A34" s="0" t="s">
        <v>26</v>
      </c>
      <c r="C34" s="6" t="n">
        <v>57.38</v>
      </c>
      <c r="D34" s="10" t="s">
        <v>27</v>
      </c>
    </row>
    <row r="35" customFormat="false" ht="15" hidden="false" customHeight="false" outlineLevel="0" collapsed="false">
      <c r="A35" s="0" t="s">
        <v>28</v>
      </c>
      <c r="C35" s="6" t="n">
        <v>33.97</v>
      </c>
      <c r="D35" s="10" t="s">
        <v>29</v>
      </c>
    </row>
    <row r="36" customFormat="false" ht="15" hidden="false" customHeight="false" outlineLevel="0" collapsed="false">
      <c r="A36" s="0" t="s">
        <v>30</v>
      </c>
      <c r="C36" s="6" t="n">
        <v>36.96</v>
      </c>
      <c r="D36" s="10" t="s">
        <v>25</v>
      </c>
    </row>
    <row r="37" customFormat="false" ht="15" hidden="false" customHeight="false" outlineLevel="0" collapsed="false">
      <c r="A37" s="0" t="s">
        <v>31</v>
      </c>
      <c r="C37" s="6" t="n">
        <v>14.98</v>
      </c>
      <c r="D37" s="10" t="s">
        <v>32</v>
      </c>
    </row>
    <row r="38" customFormat="false" ht="15" hidden="false" customHeight="false" outlineLevel="0" collapsed="false">
      <c r="A38" s="0" t="s">
        <v>33</v>
      </c>
      <c r="C38" s="6" t="n">
        <v>18.48</v>
      </c>
      <c r="D38" s="10" t="s">
        <v>32</v>
      </c>
    </row>
    <row r="39" customFormat="false" ht="15" hidden="false" customHeight="false" outlineLevel="0" collapsed="false">
      <c r="A39" s="0" t="s">
        <v>34</v>
      </c>
      <c r="C39" s="6" t="n">
        <v>34.97</v>
      </c>
      <c r="D39" s="10" t="s">
        <v>32</v>
      </c>
    </row>
    <row r="40" customFormat="false" ht="15" hidden="false" customHeight="false" outlineLevel="0" collapsed="false">
      <c r="A40" s="0" t="s">
        <v>35</v>
      </c>
      <c r="C40" s="6" t="n">
        <v>19.98</v>
      </c>
      <c r="D40" s="10" t="s">
        <v>32</v>
      </c>
    </row>
    <row r="41" customFormat="false" ht="15" hidden="false" customHeight="false" outlineLevel="0" collapsed="false">
      <c r="A41" s="0" t="s">
        <v>36</v>
      </c>
      <c r="C41" s="6" t="n">
        <v>27.99</v>
      </c>
    </row>
    <row r="42" customFormat="false" ht="15" hidden="false" customHeight="false" outlineLevel="0" collapsed="false">
      <c r="A42" s="0" t="s">
        <v>37</v>
      </c>
      <c r="C42" s="6" t="n">
        <v>43.22</v>
      </c>
    </row>
    <row r="43" customFormat="false" ht="15" hidden="false" customHeight="false" outlineLevel="0" collapsed="false">
      <c r="A43" s="0" t="s">
        <v>38</v>
      </c>
      <c r="C43" s="6" t="n">
        <v>42.74</v>
      </c>
    </row>
    <row r="44" customFormat="false" ht="15" hidden="false" customHeight="false" outlineLevel="0" collapsed="false">
      <c r="A44" s="0" t="s">
        <v>39</v>
      </c>
      <c r="C44" s="6" t="n">
        <v>57.99</v>
      </c>
    </row>
    <row r="45" customFormat="false" ht="15" hidden="false" customHeight="false" outlineLevel="0" collapsed="false">
      <c r="A45" s="0" t="s">
        <v>40</v>
      </c>
      <c r="C45" s="6" t="n">
        <v>7.99</v>
      </c>
    </row>
    <row r="46" customFormat="false" ht="15" hidden="false" customHeight="false" outlineLevel="0" collapsed="false">
      <c r="A46" s="0" t="s">
        <v>41</v>
      </c>
      <c r="C46" s="6" t="n">
        <v>5</v>
      </c>
    </row>
    <row r="47" customFormat="false" ht="15" hidden="false" customHeight="false" outlineLevel="0" collapsed="false">
      <c r="A47" s="0" t="s">
        <v>42</v>
      </c>
      <c r="C47" s="6" t="n">
        <v>8.19</v>
      </c>
    </row>
    <row r="48" customFormat="false" ht="15" hidden="false" customHeight="false" outlineLevel="0" collapsed="false">
      <c r="A48" s="0" t="s">
        <v>43</v>
      </c>
      <c r="C48" s="6" t="n">
        <v>10.09</v>
      </c>
    </row>
    <row r="49" customFormat="false" ht="15" hidden="false" customHeight="false" outlineLevel="0" collapsed="false">
      <c r="A49" s="0" t="s">
        <v>44</v>
      </c>
      <c r="C49" s="6" t="n">
        <v>19.79</v>
      </c>
    </row>
    <row r="50" customFormat="false" ht="15" hidden="false" customHeight="false" outlineLevel="0" collapsed="false">
      <c r="A50" s="0" t="s">
        <v>45</v>
      </c>
      <c r="C50" s="6" t="n">
        <v>18.99</v>
      </c>
    </row>
    <row r="51" customFormat="false" ht="15" hidden="false" customHeight="false" outlineLevel="0" collapsed="false">
      <c r="A51" s="0" t="s">
        <v>46</v>
      </c>
      <c r="C51" s="6" t="n">
        <v>19.16</v>
      </c>
      <c r="D51" s="10" t="s">
        <v>25</v>
      </c>
    </row>
    <row r="52" customFormat="false" ht="15" hidden="false" customHeight="false" outlineLevel="0" collapsed="false">
      <c r="A52" s="0" t="s">
        <v>47</v>
      </c>
      <c r="C52" s="6" t="n">
        <v>20.87</v>
      </c>
      <c r="D52" s="10" t="s">
        <v>29</v>
      </c>
    </row>
    <row r="53" customFormat="false" ht="15" hidden="false" customHeight="false" outlineLevel="0" collapsed="false">
      <c r="A53" s="7" t="s">
        <v>15</v>
      </c>
      <c r="B53" s="8"/>
      <c r="C53" s="9" t="n">
        <f aca="false">SUM(C33:C52)</f>
        <v>543.83</v>
      </c>
      <c r="D53" s="8"/>
    </row>
    <row r="55" customFormat="false" ht="15" hidden="false" customHeight="false" outlineLevel="0" collapsed="false">
      <c r="A55" s="11" t="s">
        <v>48</v>
      </c>
      <c r="B55" s="12"/>
      <c r="C55" s="13" t="n">
        <f aca="false">C14+C20+C30+C53</f>
        <v>1375.93</v>
      </c>
      <c r="D55"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42"/>
    <col collapsed="false" customWidth="true" hidden="false" outlineLevel="0" max="4" min="4" style="0" width="14"/>
    <col collapsed="false" customWidth="true" hidden="false" outlineLevel="0" max="5" min="5" style="0" width="18"/>
    <col collapsed="false" customWidth="true" hidden="false" outlineLevel="0" max="6" min="6" style="0" width="6"/>
    <col collapsed="false" customWidth="true" hidden="false" outlineLevel="0" max="7" min="7" style="0" width="11"/>
    <col collapsed="false" customWidth="true" hidden="false" outlineLevel="0" max="8" min="8" style="0" width="12"/>
    <col collapsed="false" customWidth="true" hidden="false" outlineLevel="0" max="9" min="9" style="0" width="8"/>
    <col collapsed="false" customWidth="true" hidden="false" outlineLevel="0" max="10" min="10" style="0" width="12"/>
  </cols>
  <sheetData>
    <row r="1" customFormat="false" ht="19.7" hidden="false" customHeight="false" outlineLevel="0" collapsed="false">
      <c r="A1" s="1" t="s">
        <v>49</v>
      </c>
    </row>
    <row r="2" customFormat="false" ht="45.75" hidden="false" customHeight="true" outlineLevel="0" collapsed="false">
      <c r="A2" s="14" t="s">
        <v>50</v>
      </c>
      <c r="B2" s="14"/>
      <c r="C2" s="14"/>
      <c r="D2" s="14"/>
      <c r="E2" s="14"/>
      <c r="F2" s="14"/>
      <c r="G2" s="14"/>
      <c r="H2" s="14"/>
      <c r="I2" s="14"/>
      <c r="J2" s="14"/>
    </row>
    <row r="4" customFormat="false" ht="15" hidden="false" customHeight="false" outlineLevel="0" collapsed="false">
      <c r="A4" s="15" t="s">
        <v>51</v>
      </c>
    </row>
    <row r="5" customFormat="false" ht="15" hidden="false" customHeight="false" outlineLevel="0" collapsed="false">
      <c r="A5" s="16" t="s">
        <v>52</v>
      </c>
      <c r="B5" s="16"/>
      <c r="C5" s="17" t="n">
        <f aca="false">H124</f>
        <v>3000.375</v>
      </c>
    </row>
    <row r="6" customFormat="false" ht="15" hidden="false" customHeight="false" outlineLevel="0" collapsed="false">
      <c r="A6" s="18" t="s">
        <v>53</v>
      </c>
      <c r="B6" s="18"/>
      <c r="C6" s="19" t="n">
        <f aca="false">H129</f>
        <v>2327.27</v>
      </c>
    </row>
    <row r="7" customFormat="false" ht="15" hidden="false" customHeight="false" outlineLevel="0" collapsed="false">
      <c r="A7" s="18" t="s">
        <v>54</v>
      </c>
      <c r="B7" s="18"/>
      <c r="C7" s="19" t="n">
        <f aca="false">H130</f>
        <v>1317.13</v>
      </c>
    </row>
    <row r="8" customFormat="false" ht="15" hidden="false" customHeight="false" outlineLevel="0" collapsed="false">
      <c r="A8" s="18" t="s">
        <v>55</v>
      </c>
      <c r="B8" s="18"/>
      <c r="C8" s="19" t="n">
        <f aca="false">H131</f>
        <v>3000.375</v>
      </c>
    </row>
    <row r="9" customFormat="false" ht="15" hidden="false" customHeight="false" outlineLevel="0" collapsed="false">
      <c r="A9" s="18" t="s">
        <v>56</v>
      </c>
      <c r="B9" s="18"/>
      <c r="C9" s="19" t="n">
        <f aca="false">H132</f>
        <v>1942.825</v>
      </c>
    </row>
    <row r="10" customFormat="false" ht="15" hidden="false" customHeight="false" outlineLevel="0" collapsed="false">
      <c r="A10" s="18" t="s">
        <v>57</v>
      </c>
      <c r="B10" s="18"/>
      <c r="C10" s="19" t="n">
        <f aca="false">'v1 (what it cost)'!C55</f>
        <v>1375.93</v>
      </c>
    </row>
    <row r="12" customFormat="false" ht="19.5" hidden="false" customHeight="true" outlineLevel="0" collapsed="false">
      <c r="A12" s="20" t="s">
        <v>2</v>
      </c>
      <c r="B12" s="20" t="s">
        <v>58</v>
      </c>
      <c r="C12" s="20" t="s">
        <v>59</v>
      </c>
      <c r="D12" s="20" t="s">
        <v>60</v>
      </c>
      <c r="E12" s="20" t="s">
        <v>61</v>
      </c>
      <c r="F12" s="20" t="s">
        <v>3</v>
      </c>
      <c r="G12" s="20" t="s">
        <v>62</v>
      </c>
      <c r="H12" s="20" t="s">
        <v>63</v>
      </c>
      <c r="I12" s="20" t="s">
        <v>64</v>
      </c>
    </row>
    <row r="13" customFormat="false" ht="18" hidden="false" customHeight="true" outlineLevel="0" collapsed="false">
      <c r="A13" s="4" t="s">
        <v>65</v>
      </c>
      <c r="B13" s="5"/>
      <c r="C13" s="5"/>
      <c r="D13" s="5"/>
      <c r="E13" s="5"/>
      <c r="F13" s="5"/>
      <c r="G13" s="5"/>
      <c r="H13" s="5"/>
      <c r="I13" s="5"/>
    </row>
    <row r="14" customFormat="false" ht="82.05" hidden="false" customHeight="false" outlineLevel="0" collapsed="false">
      <c r="A14" s="21" t="s">
        <v>66</v>
      </c>
      <c r="B14" s="22" t="s">
        <v>67</v>
      </c>
      <c r="C14" s="22" t="s">
        <v>68</v>
      </c>
      <c r="D14" s="21" t="s">
        <v>69</v>
      </c>
      <c r="E14" s="22" t="s">
        <v>70</v>
      </c>
      <c r="F14" s="21" t="n">
        <v>1</v>
      </c>
      <c r="G14" s="23" t="n">
        <v>5</v>
      </c>
      <c r="H14" s="23" t="n">
        <f aca="false">F14*G14</f>
        <v>5</v>
      </c>
      <c r="I14" s="24" t="str">
        <f aca="false">HYPERLINK("https://www.amazon.com/s?k=JESSINIE+18mm+piezo+disc","Open")</f>
        <v>Open</v>
      </c>
    </row>
    <row r="15" customFormat="false" ht="15" hidden="false" customHeight="false" outlineLevel="0" collapsed="false">
      <c r="A15" s="7" t="s">
        <v>15</v>
      </c>
      <c r="B15" s="8"/>
      <c r="C15" s="8"/>
      <c r="D15" s="8"/>
      <c r="E15" s="8"/>
      <c r="F15" s="8"/>
      <c r="G15" s="8"/>
      <c r="H15" s="9" t="n">
        <f aca="false">SUM(H14:H14)</f>
        <v>5</v>
      </c>
      <c r="I15" s="8"/>
    </row>
    <row r="17" customFormat="false" ht="18" hidden="false" customHeight="true" outlineLevel="0" collapsed="false">
      <c r="A17" s="4" t="s">
        <v>71</v>
      </c>
      <c r="B17" s="5"/>
      <c r="C17" s="5"/>
      <c r="D17" s="5"/>
      <c r="E17" s="5"/>
      <c r="F17" s="5"/>
      <c r="G17" s="5"/>
      <c r="H17" s="5"/>
      <c r="I17" s="5"/>
    </row>
    <row r="18" customFormat="false" ht="68.65" hidden="false" customHeight="false" outlineLevel="0" collapsed="false">
      <c r="A18" s="21" t="s">
        <v>72</v>
      </c>
      <c r="B18" s="22" t="s">
        <v>73</v>
      </c>
      <c r="C18" s="22" t="s">
        <v>74</v>
      </c>
      <c r="D18" s="21" t="s">
        <v>75</v>
      </c>
      <c r="E18" s="22" t="s">
        <v>76</v>
      </c>
      <c r="F18" s="21" t="n">
        <v>1</v>
      </c>
      <c r="G18" s="23" t="n">
        <v>14</v>
      </c>
      <c r="H18" s="23" t="n">
        <f aca="false">F18*G18</f>
        <v>14</v>
      </c>
      <c r="I18" s="24" t="str">
        <f aca="false">HYPERLINK("https://www.adafruit.com/product/324","Open")</f>
        <v>Open</v>
      </c>
    </row>
    <row r="19" customFormat="false" ht="28.35" hidden="false" customHeight="false" outlineLevel="0" collapsed="false">
      <c r="A19" s="21" t="s">
        <v>77</v>
      </c>
      <c r="B19" s="22" t="s">
        <v>78</v>
      </c>
      <c r="C19" s="22" t="s">
        <v>79</v>
      </c>
      <c r="D19" s="21" t="s">
        <v>75</v>
      </c>
      <c r="E19" s="22" t="s">
        <v>80</v>
      </c>
      <c r="F19" s="21" t="n">
        <v>1</v>
      </c>
      <c r="G19" s="23" t="n">
        <v>8.95</v>
      </c>
      <c r="H19" s="23" t="n">
        <f aca="false">F19*G19</f>
        <v>8.95</v>
      </c>
      <c r="I19" s="24" t="str">
        <f aca="false">HYPERLINK("https://adafruit.com/product/6121","Open")</f>
        <v>Open</v>
      </c>
    </row>
    <row r="20" customFormat="false" ht="55.2" hidden="false" customHeight="false" outlineLevel="0" collapsed="false">
      <c r="A20" s="21" t="s">
        <v>81</v>
      </c>
      <c r="B20" s="22" t="s">
        <v>82</v>
      </c>
      <c r="C20" s="22" t="s">
        <v>83</v>
      </c>
      <c r="D20" s="21" t="s">
        <v>84</v>
      </c>
      <c r="E20" s="22" t="s">
        <v>85</v>
      </c>
      <c r="F20" s="21" t="n">
        <v>3</v>
      </c>
      <c r="G20" s="23" t="n">
        <v>8</v>
      </c>
      <c r="H20" s="23" t="n">
        <f aca="false">F20*G20</f>
        <v>24</v>
      </c>
      <c r="I20" s="24" t="str">
        <f aca="false">HYPERLINK("https://www.thorlabs.com/thorproduct.cfm?partnumber=FAS125","Open")</f>
        <v>Open</v>
      </c>
    </row>
    <row r="21" customFormat="false" ht="28.35" hidden="false" customHeight="false" outlineLevel="0" collapsed="false">
      <c r="A21" s="21" t="s">
        <v>86</v>
      </c>
      <c r="B21" s="22" t="s">
        <v>87</v>
      </c>
      <c r="C21" s="22" t="s">
        <v>88</v>
      </c>
      <c r="D21" s="21" t="s">
        <v>84</v>
      </c>
      <c r="E21" s="22" t="s">
        <v>89</v>
      </c>
      <c r="F21" s="21" t="n">
        <v>3</v>
      </c>
      <c r="G21" s="23" t="n">
        <v>8.6</v>
      </c>
      <c r="H21" s="23" t="n">
        <f aca="false">F21*G21</f>
        <v>25.8</v>
      </c>
      <c r="I21" s="24" t="str">
        <f aca="false">HYPERLINK("https://www.thorlabs.com/thorproduct.cfm?partnumber=F25SSN1","Open")</f>
        <v>Open</v>
      </c>
    </row>
    <row r="22" customFormat="false" ht="15" hidden="false" customHeight="false" outlineLevel="0" collapsed="false">
      <c r="A22" s="7" t="s">
        <v>15</v>
      </c>
      <c r="B22" s="8"/>
      <c r="C22" s="8"/>
      <c r="D22" s="8"/>
      <c r="E22" s="8"/>
      <c r="F22" s="8"/>
      <c r="G22" s="8"/>
      <c r="H22" s="9" t="n">
        <f aca="false">SUM(H18:H21)</f>
        <v>72.75</v>
      </c>
      <c r="I22" s="8"/>
    </row>
    <row r="24" customFormat="false" ht="18" hidden="false" customHeight="true" outlineLevel="0" collapsed="false">
      <c r="A24" s="4" t="s">
        <v>90</v>
      </c>
      <c r="B24" s="5"/>
      <c r="C24" s="5"/>
      <c r="D24" s="5"/>
      <c r="E24" s="5"/>
      <c r="F24" s="5"/>
      <c r="G24" s="5"/>
      <c r="H24" s="5"/>
      <c r="I24" s="5"/>
    </row>
    <row r="25" customFormat="false" ht="41.75" hidden="false" customHeight="false" outlineLevel="0" collapsed="false">
      <c r="A25" s="21" t="s">
        <v>91</v>
      </c>
      <c r="B25" s="22" t="s">
        <v>92</v>
      </c>
      <c r="C25" s="22" t="s">
        <v>93</v>
      </c>
      <c r="D25" s="21" t="s">
        <v>94</v>
      </c>
      <c r="E25" s="22" t="s">
        <v>95</v>
      </c>
      <c r="F25" s="21" t="n">
        <v>2</v>
      </c>
      <c r="G25" s="23" t="n">
        <v>209.64</v>
      </c>
      <c r="H25" s="23" t="n">
        <f aca="false">F25*G25</f>
        <v>419.28</v>
      </c>
      <c r="I25" s="24" t="str">
        <f aca="false">HYPERLINK("https://jlcpcb.com/","Open")</f>
        <v>Open</v>
      </c>
    </row>
    <row r="26" customFormat="false" ht="28.35" hidden="false" customHeight="false" outlineLevel="0" collapsed="false">
      <c r="A26" s="21" t="s">
        <v>96</v>
      </c>
      <c r="B26" s="22" t="s">
        <v>97</v>
      </c>
      <c r="C26" s="22" t="s">
        <v>98</v>
      </c>
      <c r="D26" s="21" t="s">
        <v>94</v>
      </c>
      <c r="E26" s="22" t="s">
        <v>99</v>
      </c>
      <c r="F26" s="21" t="n">
        <v>3</v>
      </c>
      <c r="G26" s="23" t="n">
        <v>1.68</v>
      </c>
      <c r="H26" s="23" t="n">
        <f aca="false">F26*G26</f>
        <v>5.04</v>
      </c>
      <c r="I26" s="24" t="str">
        <f aca="false">HYPERLINK("https://jlcpcb.com/","Open")</f>
        <v>Open</v>
      </c>
    </row>
    <row r="27" customFormat="false" ht="28.35" hidden="false" customHeight="false" outlineLevel="0" collapsed="false">
      <c r="A27" s="21" t="s">
        <v>100</v>
      </c>
      <c r="B27" s="22" t="s">
        <v>101</v>
      </c>
      <c r="C27" s="22" t="s">
        <v>98</v>
      </c>
      <c r="D27" s="21" t="s">
        <v>102</v>
      </c>
      <c r="E27" s="22" t="s">
        <v>103</v>
      </c>
      <c r="F27" s="21" t="n">
        <v>2</v>
      </c>
      <c r="G27" s="23" t="n">
        <v>18.26</v>
      </c>
      <c r="H27" s="23" t="n">
        <f aca="false">F27*G27</f>
        <v>36.52</v>
      </c>
      <c r="I27" s="24" t="str">
        <f aca="false">HYPERLINK("https://www.digikey.com/en/products/detail/analog-devices-inc/LT1469IN8-PBF/962892","Open")</f>
        <v>Open</v>
      </c>
    </row>
    <row r="28" customFormat="false" ht="41.75" hidden="false" customHeight="false" outlineLevel="0" collapsed="false">
      <c r="A28" s="21" t="s">
        <v>104</v>
      </c>
      <c r="B28" s="22" t="s">
        <v>105</v>
      </c>
      <c r="C28" s="22" t="s">
        <v>98</v>
      </c>
      <c r="D28" s="21" t="s">
        <v>106</v>
      </c>
      <c r="E28" s="22" t="s">
        <v>107</v>
      </c>
      <c r="F28" s="21" t="n">
        <v>1</v>
      </c>
      <c r="G28" s="23" t="n">
        <v>31.5</v>
      </c>
      <c r="H28" s="23" t="n">
        <f aca="false">F28*G28</f>
        <v>31.5</v>
      </c>
      <c r="I28" s="24" t="str">
        <f aca="false">HYPERLINK("https://www.sparkfun.com/teensy-4-1.html","Open")</f>
        <v>Open</v>
      </c>
    </row>
    <row r="29" customFormat="false" ht="15" hidden="false" customHeight="false" outlineLevel="0" collapsed="false">
      <c r="A29" s="7" t="s">
        <v>15</v>
      </c>
      <c r="B29" s="8"/>
      <c r="C29" s="8"/>
      <c r="D29" s="8"/>
      <c r="E29" s="8"/>
      <c r="F29" s="8"/>
      <c r="G29" s="8"/>
      <c r="H29" s="9" t="n">
        <f aca="false">SUM(H25:H28)</f>
        <v>492.34</v>
      </c>
      <c r="I29" s="8"/>
    </row>
    <row r="31" customFormat="false" ht="18" hidden="false" customHeight="true" outlineLevel="0" collapsed="false">
      <c r="A31" s="4" t="s">
        <v>108</v>
      </c>
      <c r="B31" s="5"/>
      <c r="C31" s="5"/>
      <c r="D31" s="5"/>
      <c r="E31" s="5"/>
      <c r="F31" s="5"/>
      <c r="G31" s="5"/>
      <c r="H31" s="5"/>
      <c r="I31" s="5"/>
    </row>
    <row r="32" customFormat="false" ht="55.2" hidden="false" customHeight="false" outlineLevel="0" collapsed="false">
      <c r="A32" s="21" t="s">
        <v>109</v>
      </c>
      <c r="B32" s="22" t="s">
        <v>110</v>
      </c>
      <c r="C32" s="22" t="s">
        <v>111</v>
      </c>
      <c r="D32" s="21" t="s">
        <v>94</v>
      </c>
      <c r="E32" s="22" t="s">
        <v>112</v>
      </c>
      <c r="F32" s="21" t="n">
        <v>2</v>
      </c>
      <c r="G32" s="23" t="n">
        <v>30.17</v>
      </c>
      <c r="H32" s="23" t="n">
        <f aca="false">F32*G32</f>
        <v>60.34</v>
      </c>
      <c r="I32" s="24" t="str">
        <f aca="false">HYPERLINK("https://jlcpcb.com/","Open")</f>
        <v>Open</v>
      </c>
    </row>
    <row r="33" customFormat="false" ht="28.35" hidden="false" customHeight="false" outlineLevel="0" collapsed="false">
      <c r="A33" s="21" t="s">
        <v>113</v>
      </c>
      <c r="B33" s="22" t="s">
        <v>97</v>
      </c>
      <c r="C33" s="22" t="s">
        <v>98</v>
      </c>
      <c r="D33" s="21" t="s">
        <v>94</v>
      </c>
      <c r="E33" s="22" t="s">
        <v>99</v>
      </c>
      <c r="F33" s="21" t="n">
        <v>3</v>
      </c>
      <c r="G33" s="23" t="n">
        <v>0.8</v>
      </c>
      <c r="H33" s="23" t="n">
        <f aca="false">F33*G33</f>
        <v>2.4</v>
      </c>
      <c r="I33" s="24" t="str">
        <f aca="false">HYPERLINK("https://jlcpcb.com/","Open")</f>
        <v>Open</v>
      </c>
    </row>
    <row r="34" customFormat="false" ht="55.2" hidden="false" customHeight="false" outlineLevel="0" collapsed="false">
      <c r="A34" s="21" t="s">
        <v>114</v>
      </c>
      <c r="B34" s="22" t="s">
        <v>115</v>
      </c>
      <c r="C34" s="22" t="s">
        <v>116</v>
      </c>
      <c r="D34" s="21" t="s">
        <v>102</v>
      </c>
      <c r="E34" s="22" t="s">
        <v>117</v>
      </c>
      <c r="F34" s="21" t="n">
        <v>2</v>
      </c>
      <c r="G34" s="23" t="n">
        <v>5.73</v>
      </c>
      <c r="H34" s="23" t="n">
        <f aca="false">F34*G34</f>
        <v>11.46</v>
      </c>
      <c r="I34" s="24" t="str">
        <f aca="false">HYPERLINK("https://www.digikey.com/en/products/detail/ohmite/SM104031007FE/824190","Open")</f>
        <v>Open</v>
      </c>
    </row>
    <row r="35" customFormat="false" ht="28.35" hidden="false" customHeight="false" outlineLevel="0" collapsed="false">
      <c r="A35" s="21" t="s">
        <v>118</v>
      </c>
      <c r="B35" s="22" t="s">
        <v>119</v>
      </c>
      <c r="C35" s="22" t="s">
        <v>98</v>
      </c>
      <c r="D35" s="21" t="s">
        <v>102</v>
      </c>
      <c r="E35" s="22" t="s">
        <v>120</v>
      </c>
      <c r="F35" s="21" t="n">
        <v>2</v>
      </c>
      <c r="G35" s="23" t="n">
        <v>2.09</v>
      </c>
      <c r="H35" s="23" t="n">
        <f aca="false">F35*G35</f>
        <v>4.18</v>
      </c>
      <c r="I35" s="24" t="str">
        <f aca="false">HYPERLINK("https://octopart.com/part/keystone/11301","Open")</f>
        <v>Open</v>
      </c>
    </row>
    <row r="36" customFormat="false" ht="41.75" hidden="false" customHeight="false" outlineLevel="0" collapsed="false">
      <c r="A36" s="21" t="s">
        <v>121</v>
      </c>
      <c r="B36" s="22" t="s">
        <v>122</v>
      </c>
      <c r="C36" s="22" t="s">
        <v>123</v>
      </c>
      <c r="D36" s="21" t="s">
        <v>69</v>
      </c>
      <c r="E36" s="22" t="s">
        <v>124</v>
      </c>
      <c r="F36" s="21" t="n">
        <v>1</v>
      </c>
      <c r="G36" s="23" t="n">
        <v>7.99</v>
      </c>
      <c r="H36" s="23" t="n">
        <f aca="false">F36*G36</f>
        <v>7.99</v>
      </c>
      <c r="I36" s="24" t="str">
        <f aca="false">HYPERLINK("https://www.amazon.com/s?k=Kirecoo+copper+foil+tape+2+inch","Open")</f>
        <v>Open</v>
      </c>
    </row>
    <row r="37" customFormat="false" ht="15" hidden="false" customHeight="false" outlineLevel="0" collapsed="false">
      <c r="A37" s="7" t="s">
        <v>15</v>
      </c>
      <c r="B37" s="8"/>
      <c r="C37" s="8"/>
      <c r="D37" s="8"/>
      <c r="E37" s="8"/>
      <c r="F37" s="8"/>
      <c r="G37" s="8"/>
      <c r="H37" s="9" t="n">
        <f aca="false">SUM(H32:H36)</f>
        <v>86.37</v>
      </c>
      <c r="I37" s="8"/>
    </row>
    <row r="39" customFormat="false" ht="18" hidden="false" customHeight="true" outlineLevel="0" collapsed="false">
      <c r="A39" s="4" t="s">
        <v>125</v>
      </c>
      <c r="B39" s="5"/>
      <c r="C39" s="5"/>
      <c r="D39" s="5"/>
      <c r="E39" s="5"/>
      <c r="F39" s="5"/>
      <c r="G39" s="5"/>
      <c r="H39" s="5"/>
      <c r="I39" s="5"/>
    </row>
    <row r="40" customFormat="false" ht="28.35" hidden="false" customHeight="false" outlineLevel="0" collapsed="false">
      <c r="A40" s="21" t="s">
        <v>36</v>
      </c>
      <c r="B40" s="22" t="s">
        <v>126</v>
      </c>
      <c r="C40" s="22" t="s">
        <v>127</v>
      </c>
      <c r="D40" s="21" t="s">
        <v>128</v>
      </c>
      <c r="E40" s="22" t="s">
        <v>129</v>
      </c>
      <c r="F40" s="21" t="n">
        <v>1</v>
      </c>
      <c r="G40" s="23" t="n">
        <v>19.99</v>
      </c>
      <c r="H40" s="23" t="n">
        <f aca="false">F40*G40</f>
        <v>19.99</v>
      </c>
      <c r="I40" s="24" t="str">
        <f aca="false">HYPERLINK("https://store.sunlu.com/products/petg-cfpetg-carbon-fiber-3d-printer-filament-1kg","Open")</f>
        <v>Open</v>
      </c>
    </row>
    <row r="41" customFormat="false" ht="28.35" hidden="false" customHeight="false" outlineLevel="0" collapsed="false">
      <c r="A41" s="21" t="s">
        <v>130</v>
      </c>
      <c r="B41" s="22" t="s">
        <v>131</v>
      </c>
      <c r="C41" s="22" t="s">
        <v>132</v>
      </c>
      <c r="D41" s="21" t="s">
        <v>69</v>
      </c>
      <c r="E41" s="22" t="s">
        <v>133</v>
      </c>
      <c r="F41" s="21" t="n">
        <v>1</v>
      </c>
      <c r="G41" s="23" t="n">
        <v>9.99</v>
      </c>
      <c r="H41" s="23" t="n">
        <f aca="false">F41*G41</f>
        <v>9.99</v>
      </c>
      <c r="I41" s="24" t="str">
        <f aca="false">HYPERLINK("https://www.amazon.com/s?k=uxcell+4.6mm+steel+balls+100","Open")</f>
        <v>Open</v>
      </c>
    </row>
    <row r="42" customFormat="false" ht="41.75" hidden="false" customHeight="false" outlineLevel="0" collapsed="false">
      <c r="A42" s="21" t="s">
        <v>134</v>
      </c>
      <c r="B42" s="22" t="s">
        <v>135</v>
      </c>
      <c r="C42" s="22" t="s">
        <v>136</v>
      </c>
      <c r="D42" s="21" t="s">
        <v>137</v>
      </c>
      <c r="E42" s="22" t="s">
        <v>138</v>
      </c>
      <c r="F42" s="21" t="n">
        <v>1</v>
      </c>
      <c r="G42" s="23" t="n">
        <v>30</v>
      </c>
      <c r="H42" s="23" t="n">
        <f aca="false">F42*G42</f>
        <v>30</v>
      </c>
      <c r="I42" s="24" t="str">
        <f aca="false">HYPERLINK("https://www.tedpella.com/AFM_html/AFM.aspx","Open")</f>
        <v>Open</v>
      </c>
    </row>
    <row r="43" customFormat="false" ht="41.75" hidden="false" customHeight="false" outlineLevel="0" collapsed="false">
      <c r="A43" s="21" t="s">
        <v>33</v>
      </c>
      <c r="B43" s="22" t="s">
        <v>139</v>
      </c>
      <c r="C43" s="22" t="s">
        <v>140</v>
      </c>
      <c r="D43" s="21" t="s">
        <v>69</v>
      </c>
      <c r="E43" s="22" t="s">
        <v>141</v>
      </c>
      <c r="F43" s="21" t="n">
        <v>1</v>
      </c>
      <c r="G43" s="23" t="n">
        <v>9.49</v>
      </c>
      <c r="H43" s="23" t="n">
        <f aca="false">F43*G43</f>
        <v>9.49</v>
      </c>
      <c r="I43" s="24" t="str">
        <f aca="false">HYPERLINK("https://www.amazon.com/s?k=TRYMAG+small+neodymium+magnets","Open")</f>
        <v>Open</v>
      </c>
    </row>
    <row r="44" customFormat="false" ht="41.75" hidden="false" customHeight="false" outlineLevel="0" collapsed="false">
      <c r="A44" s="21" t="s">
        <v>142</v>
      </c>
      <c r="B44" s="22" t="s">
        <v>143</v>
      </c>
      <c r="C44" s="22" t="s">
        <v>144</v>
      </c>
      <c r="D44" s="21" t="s">
        <v>145</v>
      </c>
      <c r="E44" s="22" t="s">
        <v>146</v>
      </c>
      <c r="F44" s="21" t="n">
        <v>1</v>
      </c>
      <c r="G44" s="23" t="n">
        <v>35</v>
      </c>
      <c r="H44" s="23" t="n">
        <f aca="false">F44*G44</f>
        <v>35</v>
      </c>
      <c r="I44" s="24" t="str">
        <f aca="false">HYPERLINK("https://www.isolateit.com/products/sorbothane-acoustic-and-vibration-isolation-square-6-x-6-pads","Open")</f>
        <v>Open</v>
      </c>
    </row>
    <row r="45" customFormat="false" ht="15" hidden="false" customHeight="false" outlineLevel="0" collapsed="false">
      <c r="A45" s="7" t="s">
        <v>15</v>
      </c>
      <c r="B45" s="8"/>
      <c r="C45" s="8"/>
      <c r="D45" s="8"/>
      <c r="E45" s="8"/>
      <c r="F45" s="8"/>
      <c r="G45" s="8"/>
      <c r="H45" s="9" t="n">
        <f aca="false">SUM(H40:H44)</f>
        <v>104.47</v>
      </c>
      <c r="I45" s="8"/>
    </row>
    <row r="47" customFormat="false" ht="18" hidden="false" customHeight="true" outlineLevel="0" collapsed="false">
      <c r="A47" s="4" t="s">
        <v>147</v>
      </c>
      <c r="B47" s="5"/>
      <c r="C47" s="5"/>
      <c r="D47" s="5"/>
      <c r="E47" s="5"/>
      <c r="F47" s="5"/>
      <c r="G47" s="5"/>
      <c r="H47" s="5"/>
      <c r="I47" s="5"/>
    </row>
    <row r="48" customFormat="false" ht="28.35" hidden="false" customHeight="false" outlineLevel="0" collapsed="false">
      <c r="A48" s="21" t="s">
        <v>148</v>
      </c>
      <c r="B48" s="22" t="s">
        <v>149</v>
      </c>
      <c r="C48" s="22" t="s">
        <v>150</v>
      </c>
      <c r="D48" s="21" t="s">
        <v>75</v>
      </c>
      <c r="E48" s="22" t="s">
        <v>151</v>
      </c>
      <c r="F48" s="21" t="n">
        <v>2</v>
      </c>
      <c r="G48" s="23" t="n">
        <v>11.5</v>
      </c>
      <c r="H48" s="23" t="n">
        <f aca="false">F48*G48</f>
        <v>23</v>
      </c>
      <c r="I48" s="24" t="str">
        <f aca="false">HYPERLINK("https://adafruit.com/product/4821","Open")</f>
        <v>Open</v>
      </c>
    </row>
    <row r="49" customFormat="false" ht="15" hidden="false" customHeight="false" outlineLevel="0" collapsed="false">
      <c r="A49" s="7" t="s">
        <v>15</v>
      </c>
      <c r="B49" s="8"/>
      <c r="C49" s="8"/>
      <c r="D49" s="8"/>
      <c r="E49" s="8"/>
      <c r="F49" s="8"/>
      <c r="G49" s="8"/>
      <c r="H49" s="9" t="n">
        <f aca="false">SUM(H48:H48)</f>
        <v>23</v>
      </c>
      <c r="I49" s="8"/>
    </row>
    <row r="51" customFormat="false" ht="18" hidden="false" customHeight="true" outlineLevel="0" collapsed="false">
      <c r="A51" s="4" t="s">
        <v>152</v>
      </c>
      <c r="B51" s="5"/>
      <c r="C51" s="5"/>
      <c r="D51" s="5"/>
      <c r="E51" s="5"/>
      <c r="F51" s="5"/>
      <c r="G51" s="5"/>
      <c r="H51" s="5"/>
      <c r="I51" s="5"/>
    </row>
    <row r="52" customFormat="false" ht="55.2" hidden="false" customHeight="false" outlineLevel="0" collapsed="false">
      <c r="A52" s="21" t="s">
        <v>153</v>
      </c>
      <c r="B52" s="22" t="s">
        <v>154</v>
      </c>
      <c r="C52" s="22" t="s">
        <v>155</v>
      </c>
      <c r="D52" s="21" t="s">
        <v>156</v>
      </c>
      <c r="E52" s="22" t="s">
        <v>157</v>
      </c>
      <c r="F52" s="21" t="n">
        <v>2</v>
      </c>
      <c r="G52" s="23" t="n">
        <v>21.39</v>
      </c>
      <c r="H52" s="23" t="n">
        <f aca="false">F52*G52</f>
        <v>42.78</v>
      </c>
      <c r="I52" s="24" t="str">
        <f aca="false">HYPERLINK("https://www.batteryjunction.com/products/energizer-ind-9v-en22-12pk","Open")</f>
        <v>Open</v>
      </c>
    </row>
    <row r="53" customFormat="false" ht="28.35" hidden="false" customHeight="false" outlineLevel="0" collapsed="false">
      <c r="A53" s="21" t="s">
        <v>158</v>
      </c>
      <c r="B53" s="22" t="s">
        <v>159</v>
      </c>
      <c r="C53" s="22" t="s">
        <v>160</v>
      </c>
      <c r="D53" s="21" t="s">
        <v>102</v>
      </c>
      <c r="E53" s="22" t="s">
        <v>161</v>
      </c>
      <c r="F53" s="21" t="n">
        <v>10</v>
      </c>
      <c r="G53" s="23" t="n">
        <v>0.61</v>
      </c>
      <c r="H53" s="23" t="n">
        <f aca="false">F53*G53</f>
        <v>6.1</v>
      </c>
      <c r="I53" s="24" t="str">
        <f aca="false">HYPERLINK("https://octopart.com/part/keystone/232","Open")</f>
        <v>Open</v>
      </c>
    </row>
    <row r="54" customFormat="false" ht="28.35" hidden="false" customHeight="false" outlineLevel="0" collapsed="false">
      <c r="A54" s="21" t="s">
        <v>162</v>
      </c>
      <c r="B54" s="22" t="s">
        <v>163</v>
      </c>
      <c r="C54" s="22" t="s">
        <v>164</v>
      </c>
      <c r="D54" s="21" t="s">
        <v>156</v>
      </c>
      <c r="E54" s="22" t="s">
        <v>165</v>
      </c>
      <c r="F54" s="21" t="n">
        <v>1</v>
      </c>
      <c r="G54" s="23" t="n">
        <v>10.95</v>
      </c>
      <c r="H54" s="23" t="n">
        <f aca="false">F54*G54</f>
        <v>10.95</v>
      </c>
      <c r="I54" s="24" t="str">
        <f aca="false">HYPERLINK("https://www.batteryjunction.com/products/energizer-ind-aa-en91-24pk","Open")</f>
        <v>Open</v>
      </c>
    </row>
    <row r="55" customFormat="false" ht="28.35" hidden="false" customHeight="false" outlineLevel="0" collapsed="false">
      <c r="A55" s="21" t="s">
        <v>166</v>
      </c>
      <c r="B55" s="22" t="s">
        <v>167</v>
      </c>
      <c r="C55" s="22" t="s">
        <v>168</v>
      </c>
      <c r="D55" s="21" t="s">
        <v>75</v>
      </c>
      <c r="E55" s="22" t="s">
        <v>169</v>
      </c>
      <c r="F55" s="21" t="n">
        <v>2</v>
      </c>
      <c r="G55" s="23" t="n">
        <v>2.95</v>
      </c>
      <c r="H55" s="23" t="n">
        <f aca="false">F55*G55</f>
        <v>5.9</v>
      </c>
      <c r="I55" s="24" t="str">
        <f aca="false">HYPERLINK("https://www.adafruit.com/product/449","Open")</f>
        <v>Open</v>
      </c>
    </row>
    <row r="56" customFormat="false" ht="15" hidden="false" customHeight="false" outlineLevel="0" collapsed="false">
      <c r="A56" s="7" t="s">
        <v>15</v>
      </c>
      <c r="B56" s="8"/>
      <c r="C56" s="8"/>
      <c r="D56" s="8"/>
      <c r="E56" s="8"/>
      <c r="F56" s="8"/>
      <c r="G56" s="8"/>
      <c r="H56" s="9" t="n">
        <f aca="false">SUM(H52:H55)</f>
        <v>65.73</v>
      </c>
      <c r="I56" s="8"/>
    </row>
    <row r="58" customFormat="false" ht="15" hidden="false" customHeight="false" outlineLevel="0" collapsed="false">
      <c r="A58" s="7" t="s">
        <v>170</v>
      </c>
      <c r="B58" s="8"/>
      <c r="C58" s="8"/>
      <c r="D58" s="8"/>
      <c r="E58" s="8"/>
      <c r="F58" s="8"/>
      <c r="G58" s="8"/>
      <c r="H58" s="9" t="n">
        <f aca="false">H15+H22+H29+H37+H45+H49+H56</f>
        <v>849.66</v>
      </c>
      <c r="I58" s="8"/>
    </row>
    <row r="59" customFormat="false" ht="95.5" hidden="false" customHeight="false" outlineLevel="0" collapsed="false">
      <c r="A59" s="0" t="s">
        <v>12</v>
      </c>
      <c r="B59" s="22" t="s">
        <v>171</v>
      </c>
      <c r="H59" s="6" t="n">
        <v>106.75</v>
      </c>
    </row>
    <row r="60" customFormat="false" ht="68.65" hidden="false" customHeight="false" outlineLevel="0" collapsed="false">
      <c r="A60" s="0" t="s">
        <v>172</v>
      </c>
      <c r="B60" s="22" t="s">
        <v>173</v>
      </c>
      <c r="H60" s="6" t="n">
        <v>170.47</v>
      </c>
    </row>
    <row r="61" customFormat="false" ht="28.35" hidden="false" customHeight="false" outlineLevel="0" collapsed="false">
      <c r="A61" s="0" t="s">
        <v>174</v>
      </c>
      <c r="B61" s="22" t="s">
        <v>175</v>
      </c>
      <c r="H61" s="6" t="n">
        <v>4.66</v>
      </c>
    </row>
    <row r="62" customFormat="false" ht="15" hidden="false" customHeight="false" outlineLevel="0" collapsed="false">
      <c r="A62" s="7" t="s">
        <v>176</v>
      </c>
      <c r="B62" s="8"/>
      <c r="C62" s="8"/>
      <c r="D62" s="8"/>
      <c r="E62" s="8"/>
      <c r="F62" s="8"/>
      <c r="G62" s="8"/>
      <c r="H62" s="9" t="n">
        <f aca="false">SUM(H59:H61)</f>
        <v>281.88</v>
      </c>
      <c r="I62" s="8"/>
    </row>
    <row r="63" customFormat="false" ht="41.75" hidden="false" customHeight="false" outlineLevel="0" collapsed="false">
      <c r="B63" s="25" t="s">
        <v>177</v>
      </c>
    </row>
    <row r="65" customFormat="false" ht="18" hidden="false" customHeight="true" outlineLevel="0" collapsed="false">
      <c r="A65" s="26" t="s">
        <v>178</v>
      </c>
      <c r="B65" s="27"/>
      <c r="C65" s="27"/>
      <c r="D65" s="27"/>
      <c r="E65" s="27"/>
      <c r="F65" s="27"/>
      <c r="G65" s="27"/>
      <c r="H65" s="27"/>
      <c r="I65" s="27"/>
      <c r="J65" s="27"/>
    </row>
    <row r="66" customFormat="false" ht="48" hidden="false" customHeight="true" outlineLevel="0" collapsed="false">
      <c r="A66" s="28" t="s">
        <v>179</v>
      </c>
      <c r="B66" s="28"/>
      <c r="C66" s="28"/>
      <c r="D66" s="28"/>
      <c r="E66" s="28"/>
      <c r="F66" s="28"/>
      <c r="G66" s="28"/>
      <c r="H66" s="28"/>
      <c r="I66" s="28"/>
      <c r="J66" s="28"/>
    </row>
    <row r="67" customFormat="false" ht="15" hidden="false" customHeight="false" outlineLevel="0" collapsed="false">
      <c r="A67" s="29" t="s">
        <v>180</v>
      </c>
      <c r="B67" s="30"/>
      <c r="C67" s="30"/>
      <c r="D67" s="30"/>
      <c r="E67" s="30"/>
      <c r="F67" s="30"/>
      <c r="G67" s="30"/>
      <c r="H67" s="31" t="s">
        <v>181</v>
      </c>
      <c r="I67" s="30"/>
      <c r="J67" s="32" t="s">
        <v>182</v>
      </c>
    </row>
    <row r="68" customFormat="false" ht="19.5" hidden="false" customHeight="true" outlineLevel="0" collapsed="false">
      <c r="A68" s="33" t="s">
        <v>2</v>
      </c>
      <c r="B68" s="33" t="s">
        <v>58</v>
      </c>
      <c r="C68" s="33" t="s">
        <v>59</v>
      </c>
      <c r="D68" s="33" t="s">
        <v>60</v>
      </c>
      <c r="E68" s="33" t="s">
        <v>61</v>
      </c>
      <c r="F68" s="33" t="s">
        <v>3</v>
      </c>
      <c r="G68" s="33" t="s">
        <v>62</v>
      </c>
      <c r="H68" s="33" t="s">
        <v>63</v>
      </c>
      <c r="I68" s="33" t="s">
        <v>64</v>
      </c>
      <c r="J68" s="33" t="s">
        <v>183</v>
      </c>
    </row>
    <row r="69" customFormat="false" ht="18" hidden="false" customHeight="true" outlineLevel="0" collapsed="false">
      <c r="A69" s="34" t="s">
        <v>184</v>
      </c>
      <c r="B69" s="30"/>
      <c r="C69" s="30"/>
      <c r="D69" s="30"/>
      <c r="E69" s="30"/>
      <c r="F69" s="30"/>
      <c r="G69" s="30"/>
      <c r="H69" s="30"/>
      <c r="I69" s="30"/>
      <c r="J69" s="30"/>
    </row>
    <row r="70" customFormat="false" ht="55.2" hidden="false" customHeight="false" outlineLevel="0" collapsed="false">
      <c r="A70" s="21" t="s">
        <v>184</v>
      </c>
      <c r="B70" s="22" t="s">
        <v>185</v>
      </c>
      <c r="C70" s="22" t="s">
        <v>186</v>
      </c>
      <c r="D70" s="21" t="s">
        <v>187</v>
      </c>
      <c r="E70" s="22" t="s">
        <v>188</v>
      </c>
      <c r="F70" s="21" t="n">
        <v>1</v>
      </c>
      <c r="G70" s="23" t="n">
        <v>131</v>
      </c>
      <c r="H70" s="23" t="n">
        <f aca="false">F70*G70</f>
        <v>131</v>
      </c>
      <c r="I70" s="24" t="str">
        <f aca="false">HYPERLINK("https://www.piezodrive.com/product/tb3006-n-29um-range-piezo-tube-scanner/","Open")</f>
        <v>Open</v>
      </c>
    </row>
    <row r="71" customFormat="false" ht="18" hidden="false" customHeight="true" outlineLevel="0" collapsed="false">
      <c r="A71" s="34" t="s">
        <v>189</v>
      </c>
      <c r="B71" s="30"/>
      <c r="C71" s="30"/>
      <c r="D71" s="30"/>
      <c r="E71" s="30"/>
      <c r="F71" s="30"/>
      <c r="G71" s="30"/>
      <c r="H71" s="30"/>
      <c r="I71" s="30"/>
      <c r="J71" s="30"/>
    </row>
    <row r="72" customFormat="false" ht="68.65" hidden="false" customHeight="false" outlineLevel="0" collapsed="false">
      <c r="A72" s="21" t="s">
        <v>190</v>
      </c>
      <c r="B72" s="22" t="s">
        <v>191</v>
      </c>
      <c r="C72" s="22" t="s">
        <v>192</v>
      </c>
      <c r="D72" s="21" t="s">
        <v>69</v>
      </c>
      <c r="E72" s="22" t="s">
        <v>193</v>
      </c>
      <c r="F72" s="21" t="n">
        <v>1</v>
      </c>
      <c r="G72" s="23" t="n">
        <v>35</v>
      </c>
      <c r="H72" s="23" t="n">
        <f aca="false">F72*G72</f>
        <v>35</v>
      </c>
      <c r="I72" s="24" t="str">
        <f aca="false">HYPERLINK("https://www.amazon.com/s?k=Macor+machinable+ceramic+rod","Open")</f>
        <v>Open</v>
      </c>
    </row>
    <row r="73" customFormat="false" ht="41.75" hidden="false" customHeight="false" outlineLevel="0" collapsed="false">
      <c r="A73" s="21" t="s">
        <v>194</v>
      </c>
      <c r="B73" s="22" t="s">
        <v>195</v>
      </c>
      <c r="C73" s="22" t="s">
        <v>196</v>
      </c>
      <c r="D73" s="21" t="s">
        <v>69</v>
      </c>
      <c r="E73" s="22" t="s">
        <v>197</v>
      </c>
      <c r="F73" s="21" t="n">
        <v>1</v>
      </c>
      <c r="G73" s="23" t="n">
        <v>15</v>
      </c>
      <c r="H73" s="23" t="n">
        <f aca="false">F73*G73</f>
        <v>15</v>
      </c>
      <c r="I73" s="24" t="str">
        <f aca="false">HYPERLINK("https://www.amazon.com/s?k=Loctite+EA+E-30CL+epoxy","Open")</f>
        <v>Open</v>
      </c>
    </row>
    <row r="74" customFormat="false" ht="41.75" hidden="false" customHeight="false" outlineLevel="0" collapsed="false">
      <c r="A74" s="21" t="s">
        <v>198</v>
      </c>
      <c r="B74" s="22" t="s">
        <v>199</v>
      </c>
      <c r="C74" s="22" t="s">
        <v>200</v>
      </c>
      <c r="D74" s="21" t="s">
        <v>69</v>
      </c>
      <c r="E74" s="22" t="s">
        <v>201</v>
      </c>
      <c r="F74" s="21" t="n">
        <v>1</v>
      </c>
      <c r="G74" s="23" t="n">
        <v>25</v>
      </c>
      <c r="H74" s="23" t="n">
        <f aca="false">F74*G74</f>
        <v>25</v>
      </c>
      <c r="I74" s="24" t="str">
        <f aca="false">HYPERLINK("https://www.amazon.com/s?k=CW2400+conductive+silver+epoxy","Open")</f>
        <v>Open</v>
      </c>
    </row>
    <row r="75" customFormat="false" ht="41.75" hidden="false" customHeight="false" outlineLevel="0" collapsed="false">
      <c r="A75" s="21" t="s">
        <v>202</v>
      </c>
      <c r="B75" s="22" t="s">
        <v>203</v>
      </c>
      <c r="C75" s="22" t="s">
        <v>204</v>
      </c>
      <c r="D75" s="21" t="s">
        <v>69</v>
      </c>
      <c r="E75" s="22" t="s">
        <v>205</v>
      </c>
      <c r="F75" s="21" t="n">
        <v>1</v>
      </c>
      <c r="G75" s="23" t="n">
        <v>10</v>
      </c>
      <c r="H75" s="23" t="n">
        <f aca="false">F75*G75</f>
        <v>10</v>
      </c>
      <c r="I75" s="24" t="str">
        <f aca="false">HYPERLINK("https://www.amazon.com/s?k=23+gauge+stainless+steel+hypodermic+tubing","Open")</f>
        <v>Open</v>
      </c>
    </row>
    <row r="76" customFormat="false" ht="28.35" hidden="false" customHeight="false" outlineLevel="0" collapsed="false">
      <c r="A76" s="21" t="s">
        <v>206</v>
      </c>
      <c r="B76" s="22" t="s">
        <v>207</v>
      </c>
      <c r="C76" s="22" t="s">
        <v>208</v>
      </c>
      <c r="D76" s="21" t="s">
        <v>69</v>
      </c>
      <c r="E76" s="22" t="s">
        <v>209</v>
      </c>
      <c r="F76" s="21" t="n">
        <v>1</v>
      </c>
      <c r="G76" s="23" t="n">
        <v>10</v>
      </c>
      <c r="H76" s="23" t="n">
        <f aca="false">F76*G76</f>
        <v>10</v>
      </c>
      <c r="I76" s="24" t="str">
        <f aca="false">HYPERLINK("https://www.amazon.com/s?k=micro+coax+cable+1mm","Open")</f>
        <v>Open</v>
      </c>
    </row>
    <row r="77" customFormat="false" ht="41.75" hidden="false" customHeight="false" outlineLevel="0" collapsed="false">
      <c r="A77" s="21" t="s">
        <v>210</v>
      </c>
      <c r="B77" s="22" t="s">
        <v>211</v>
      </c>
      <c r="C77" s="22" t="s">
        <v>212</v>
      </c>
      <c r="D77" s="21" t="s">
        <v>69</v>
      </c>
      <c r="E77" s="22" t="s">
        <v>213</v>
      </c>
      <c r="F77" s="21" t="n">
        <v>1</v>
      </c>
      <c r="G77" s="23" t="n">
        <v>12</v>
      </c>
      <c r="H77" s="23" t="n">
        <f aca="false">F77*G77</f>
        <v>12</v>
      </c>
      <c r="I77" s="24" t="str">
        <f aca="false">HYPERLINK("https://www.amazon.com/s?k=Hammond+1590B+diecast+aluminum+enclosure","Open")</f>
        <v>Open</v>
      </c>
    </row>
    <row r="78" customFormat="false" ht="28.35" hidden="false" customHeight="false" outlineLevel="0" collapsed="false">
      <c r="A78" s="21" t="s">
        <v>214</v>
      </c>
      <c r="B78" s="22" t="s">
        <v>215</v>
      </c>
      <c r="C78" s="22" t="s">
        <v>216</v>
      </c>
      <c r="D78" s="21" t="s">
        <v>69</v>
      </c>
      <c r="E78" s="22" t="s">
        <v>217</v>
      </c>
      <c r="F78" s="21" t="n">
        <v>2</v>
      </c>
      <c r="G78" s="23" t="n">
        <v>3</v>
      </c>
      <c r="H78" s="23" t="n">
        <f aca="false">F78*G78</f>
        <v>6</v>
      </c>
      <c r="I78" s="24" t="str">
        <f aca="false">HYPERLINK("https://www.amazon.com/s?k=DB9+connector+with+backshell","Open")</f>
        <v>Open</v>
      </c>
    </row>
    <row r="79" customFormat="false" ht="41.75" hidden="false" customHeight="false" outlineLevel="0" collapsed="false">
      <c r="A79" s="21" t="s">
        <v>218</v>
      </c>
      <c r="B79" s="22" t="s">
        <v>219</v>
      </c>
      <c r="C79" s="22" t="s">
        <v>220</v>
      </c>
      <c r="D79" s="21" t="s">
        <v>69</v>
      </c>
      <c r="E79" s="22" t="s">
        <v>221</v>
      </c>
      <c r="F79" s="21" t="n">
        <v>1</v>
      </c>
      <c r="G79" s="23" t="n">
        <v>8</v>
      </c>
      <c r="H79" s="23" t="n">
        <f aca="false">F79*G79</f>
        <v>8</v>
      </c>
      <c r="I79" s="24" t="str">
        <f aca="false">HYPERLINK("https://www.amazon.com/s?k=5+core+shielded+cable+300V","Open")</f>
        <v>Open</v>
      </c>
    </row>
    <row r="80" customFormat="false" ht="41.75" hidden="false" customHeight="false" outlineLevel="0" collapsed="false">
      <c r="A80" s="21" t="s">
        <v>222</v>
      </c>
      <c r="B80" s="22" t="s">
        <v>223</v>
      </c>
      <c r="C80" s="22" t="s">
        <v>224</v>
      </c>
      <c r="D80" s="21" t="s">
        <v>69</v>
      </c>
      <c r="E80" s="22" t="s">
        <v>225</v>
      </c>
      <c r="F80" s="21" t="n">
        <v>8</v>
      </c>
      <c r="G80" s="23" t="n">
        <v>0.5</v>
      </c>
      <c r="H80" s="23" t="n">
        <f aca="false">F80*G80</f>
        <v>4</v>
      </c>
      <c r="I80" s="24" t="str">
        <f aca="false">HYPERLINK("https://www.amazon.com/s?k=2.2nF+100V+film+capacitor","Open")</f>
        <v>Open</v>
      </c>
    </row>
    <row r="81" customFormat="false" ht="28.35" hidden="false" customHeight="false" outlineLevel="0" collapsed="false">
      <c r="A81" s="21" t="s">
        <v>226</v>
      </c>
      <c r="B81" s="22" t="s">
        <v>227</v>
      </c>
      <c r="C81" s="22" t="s">
        <v>192</v>
      </c>
      <c r="D81" s="21" t="s">
        <v>69</v>
      </c>
      <c r="E81" s="22" t="s">
        <v>228</v>
      </c>
      <c r="F81" s="21" t="n">
        <v>1</v>
      </c>
      <c r="G81" s="23" t="n">
        <v>5</v>
      </c>
      <c r="H81" s="23" t="n">
        <f aca="false">F81*G81</f>
        <v>5</v>
      </c>
      <c r="I81" s="24" t="str">
        <f aca="false">HYPERLINK("https://www.amazon.com/s?k=M3+heat+set+inserts+kit","Open")</f>
        <v>Open</v>
      </c>
    </row>
    <row r="82" customFormat="false" ht="18" hidden="false" customHeight="true" outlineLevel="0" collapsed="false">
      <c r="A82" s="34" t="s">
        <v>229</v>
      </c>
      <c r="B82" s="30"/>
      <c r="C82" s="30"/>
      <c r="D82" s="30"/>
      <c r="E82" s="30"/>
      <c r="F82" s="30"/>
      <c r="G82" s="30"/>
      <c r="H82" s="30"/>
      <c r="I82" s="30"/>
      <c r="J82" s="30"/>
    </row>
    <row r="83" customFormat="false" ht="68.65" hidden="false" customHeight="false" outlineLevel="0" collapsed="false">
      <c r="A83" s="21" t="s">
        <v>230</v>
      </c>
      <c r="B83" s="22" t="s">
        <v>231</v>
      </c>
      <c r="C83" s="22" t="s">
        <v>232</v>
      </c>
      <c r="D83" s="21" t="s">
        <v>233</v>
      </c>
      <c r="E83" s="22" t="s">
        <v>234</v>
      </c>
      <c r="F83" s="21" t="n">
        <v>5</v>
      </c>
      <c r="G83" s="23" t="n">
        <v>6.725</v>
      </c>
      <c r="H83" s="23" t="n">
        <f aca="false">F83*G83</f>
        <v>33.625</v>
      </c>
      <c r="I83" s="24" t="str">
        <f aca="false">HYPERLINK("https://www.lcsc.com/product-detail/C50636.html","Open")</f>
        <v>Open</v>
      </c>
    </row>
    <row r="84" customFormat="false" ht="41.75" hidden="false" customHeight="false" outlineLevel="0" collapsed="false">
      <c r="A84" s="21" t="s">
        <v>235</v>
      </c>
      <c r="B84" s="22" t="s">
        <v>236</v>
      </c>
      <c r="C84" s="22" t="s">
        <v>237</v>
      </c>
      <c r="D84" s="21" t="s">
        <v>233</v>
      </c>
      <c r="E84" s="22" t="s">
        <v>238</v>
      </c>
      <c r="F84" s="21" t="n">
        <v>1</v>
      </c>
      <c r="G84" s="23" t="n">
        <v>40</v>
      </c>
      <c r="H84" s="23" t="n">
        <f aca="false">F84*G84</f>
        <v>40</v>
      </c>
      <c r="I84" s="24" t="str">
        <f aca="false">HYPERLINK("https://www.lcsc.com/","Open")</f>
        <v>Open</v>
      </c>
    </row>
    <row r="85" customFormat="false" ht="41.75" hidden="false" customHeight="false" outlineLevel="0" collapsed="false">
      <c r="A85" s="21" t="s">
        <v>239</v>
      </c>
      <c r="B85" s="22" t="s">
        <v>240</v>
      </c>
      <c r="C85" s="22" t="s">
        <v>237</v>
      </c>
      <c r="D85" s="21" t="s">
        <v>94</v>
      </c>
      <c r="E85" s="22" t="s">
        <v>99</v>
      </c>
      <c r="F85" s="21" t="n">
        <v>5</v>
      </c>
      <c r="G85" s="23" t="n">
        <v>2</v>
      </c>
      <c r="H85" s="23" t="n">
        <f aca="false">F85*G85</f>
        <v>10</v>
      </c>
      <c r="I85" s="24" t="str">
        <f aca="false">HYPERLINK("https://jlcpcb.com/","Open")</f>
        <v>Open</v>
      </c>
    </row>
    <row r="86" customFormat="false" ht="18" hidden="false" customHeight="true" outlineLevel="0" collapsed="false">
      <c r="A86" s="34" t="s">
        <v>241</v>
      </c>
      <c r="B86" s="30"/>
      <c r="C86" s="30"/>
      <c r="D86" s="30"/>
      <c r="E86" s="30"/>
      <c r="F86" s="30"/>
      <c r="G86" s="30"/>
      <c r="H86" s="30"/>
      <c r="I86" s="30"/>
      <c r="J86" s="30"/>
    </row>
    <row r="87" customFormat="false" ht="41.75" hidden="false" customHeight="false" outlineLevel="0" collapsed="false">
      <c r="A87" s="21" t="s">
        <v>242</v>
      </c>
      <c r="B87" s="22" t="s">
        <v>243</v>
      </c>
      <c r="C87" s="22" t="s">
        <v>244</v>
      </c>
      <c r="D87" s="21" t="s">
        <v>156</v>
      </c>
      <c r="E87" s="22" t="s">
        <v>157</v>
      </c>
      <c r="F87" s="21" t="n">
        <v>1</v>
      </c>
      <c r="G87" s="23" t="n">
        <v>21.39</v>
      </c>
      <c r="H87" s="23" t="n">
        <f aca="false">F87*G87</f>
        <v>21.39</v>
      </c>
      <c r="I87" s="24" t="str">
        <f aca="false">HYPERLINK("https://www.batteryjunction.com/products/energizer-ind-9v-en22-12pk","Open")</f>
        <v>Open</v>
      </c>
    </row>
    <row r="88" customFormat="false" ht="15" hidden="false" customHeight="false" outlineLevel="0" collapsed="false">
      <c r="A88" s="21" t="s">
        <v>245</v>
      </c>
      <c r="B88" s="22" t="s">
        <v>246</v>
      </c>
      <c r="C88" s="22" t="s">
        <v>160</v>
      </c>
      <c r="D88" s="21" t="s">
        <v>102</v>
      </c>
      <c r="E88" s="22" t="s">
        <v>161</v>
      </c>
      <c r="F88" s="21" t="n">
        <v>10</v>
      </c>
      <c r="G88" s="23" t="n">
        <v>0.61</v>
      </c>
      <c r="H88" s="23" t="n">
        <f aca="false">F88*G88</f>
        <v>6.1</v>
      </c>
      <c r="I88" s="24" t="str">
        <f aca="false">HYPERLINK("https://octopart.com/part/keystone/232","Open")</f>
        <v>Open</v>
      </c>
    </row>
    <row r="89" customFormat="false" ht="18" hidden="false" customHeight="true" outlineLevel="0" collapsed="false">
      <c r="A89" s="34" t="s">
        <v>247</v>
      </c>
      <c r="B89" s="30"/>
      <c r="C89" s="30"/>
      <c r="D89" s="30"/>
      <c r="E89" s="30"/>
      <c r="F89" s="30"/>
      <c r="G89" s="30"/>
      <c r="H89" s="30"/>
      <c r="I89" s="30"/>
      <c r="J89" s="30"/>
    </row>
    <row r="90" customFormat="false" ht="41.75" hidden="false" customHeight="false" outlineLevel="0" collapsed="false">
      <c r="A90" s="21" t="s">
        <v>248</v>
      </c>
      <c r="B90" s="22" t="s">
        <v>249</v>
      </c>
      <c r="C90" s="22" t="s">
        <v>250</v>
      </c>
      <c r="D90" s="21" t="s">
        <v>187</v>
      </c>
      <c r="E90" s="22" t="s">
        <v>188</v>
      </c>
      <c r="F90" s="21" t="n">
        <v>1</v>
      </c>
      <c r="G90" s="23" t="n">
        <v>131</v>
      </c>
      <c r="H90" s="23" t="n">
        <f aca="false">IF(J90="Yes",F90*G90,0)</f>
        <v>0</v>
      </c>
      <c r="I90" s="24" t="str">
        <f aca="false">HYPERLINK("https://www.piezodrive.com/product/tb3006-n-29um-range-piezo-tube-scanner/","Open")</f>
        <v>Open</v>
      </c>
      <c r="J90" s="35" t="s">
        <v>251</v>
      </c>
    </row>
    <row r="91" customFormat="false" ht="55.2" hidden="false" customHeight="false" outlineLevel="0" collapsed="false">
      <c r="A91" s="21" t="s">
        <v>252</v>
      </c>
      <c r="B91" s="22" t="s">
        <v>253</v>
      </c>
      <c r="C91" s="22" t="s">
        <v>254</v>
      </c>
      <c r="D91" s="21" t="s">
        <v>255</v>
      </c>
      <c r="E91" s="22" t="s">
        <v>256</v>
      </c>
      <c r="F91" s="21" t="n">
        <v>1</v>
      </c>
      <c r="G91" s="23" t="n">
        <v>40</v>
      </c>
      <c r="H91" s="23" t="n">
        <f aca="false">IF(J91="Yes",F91*G91,0)</f>
        <v>0</v>
      </c>
      <c r="I91" s="24" t="str">
        <f aca="false">HYPERLINK("https://sendcutsend.com/","Open")</f>
        <v>Open</v>
      </c>
      <c r="J91" s="35" t="s">
        <v>251</v>
      </c>
    </row>
    <row r="92" customFormat="false" ht="15" hidden="false" customHeight="false" outlineLevel="0" collapsed="false">
      <c r="A92" s="7" t="s">
        <v>257</v>
      </c>
      <c r="B92" s="8"/>
      <c r="C92" s="8"/>
      <c r="D92" s="8"/>
      <c r="E92" s="8"/>
      <c r="F92" s="8"/>
      <c r="G92" s="8"/>
      <c r="H92" s="9" t="n">
        <f aca="false">SUM(H69:H91)</f>
        <v>372.115</v>
      </c>
      <c r="I92" s="8"/>
      <c r="J92" s="8"/>
    </row>
    <row r="93" customFormat="false" ht="18" hidden="false" customHeight="true" outlineLevel="0" collapsed="false">
      <c r="A93" s="34" t="s">
        <v>258</v>
      </c>
      <c r="B93" s="30"/>
      <c r="C93" s="30"/>
      <c r="D93" s="30"/>
      <c r="E93" s="30"/>
      <c r="F93" s="30"/>
      <c r="G93" s="30"/>
      <c r="H93" s="30"/>
      <c r="I93" s="30"/>
      <c r="J93" s="30"/>
    </row>
    <row r="94" customFormat="false" ht="41.75" hidden="false" customHeight="false" outlineLevel="0" collapsed="false">
      <c r="A94" s="0" t="s">
        <v>12</v>
      </c>
      <c r="B94" s="22" t="s">
        <v>259</v>
      </c>
      <c r="H94" s="6" t="n">
        <v>60</v>
      </c>
    </row>
    <row r="95" customFormat="false" ht="28.35" hidden="false" customHeight="false" outlineLevel="0" collapsed="false">
      <c r="A95" s="0" t="s">
        <v>172</v>
      </c>
      <c r="B95" s="22" t="s">
        <v>260</v>
      </c>
      <c r="H95" s="6" t="n">
        <f aca="false">ROUND(0.35*(H83+H84+H85),2)</f>
        <v>29.27</v>
      </c>
    </row>
    <row r="96" customFormat="false" ht="41.75" hidden="false" customHeight="false" outlineLevel="0" collapsed="false">
      <c r="A96" s="0" t="s">
        <v>174</v>
      </c>
      <c r="B96" s="22" t="s">
        <v>261</v>
      </c>
      <c r="H96" s="6" t="n">
        <f aca="false">ROUND(0.1*(H70+H90)+0.08*(H88),2)+65</f>
        <v>78.59</v>
      </c>
    </row>
    <row r="97" customFormat="false" ht="15" hidden="false" customHeight="false" outlineLevel="0" collapsed="false">
      <c r="A97" s="7" t="s">
        <v>262</v>
      </c>
      <c r="B97" s="8"/>
      <c r="C97" s="8"/>
      <c r="D97" s="8"/>
      <c r="E97" s="8"/>
      <c r="F97" s="8"/>
      <c r="G97" s="8"/>
      <c r="H97" s="9" t="n">
        <f aca="false">SUM(H94:H96)</f>
        <v>167.86</v>
      </c>
      <c r="I97" s="8"/>
      <c r="J97" s="8"/>
    </row>
    <row r="98" customFormat="false" ht="28.35" hidden="false" customHeight="false" outlineLevel="0" collapsed="false">
      <c r="A98" s="36" t="s">
        <v>263</v>
      </c>
      <c r="B98" s="37" t="s">
        <v>264</v>
      </c>
      <c r="C98" s="38"/>
      <c r="D98" s="38"/>
      <c r="E98" s="38"/>
      <c r="F98" s="38"/>
      <c r="G98" s="38"/>
      <c r="H98" s="39" t="n">
        <f aca="false">IF(J67="Yes",H92+H97,0)</f>
        <v>539.975</v>
      </c>
      <c r="I98" s="38"/>
      <c r="J98" s="38"/>
    </row>
    <row r="100" customFormat="false" ht="18" hidden="false" customHeight="true" outlineLevel="0" collapsed="false">
      <c r="A100" s="40" t="s">
        <v>265</v>
      </c>
      <c r="B100" s="41"/>
      <c r="C100" s="41"/>
      <c r="D100" s="41"/>
      <c r="E100" s="41"/>
      <c r="F100" s="41"/>
      <c r="G100" s="41"/>
      <c r="H100" s="41"/>
      <c r="I100" s="41"/>
      <c r="J100" s="41"/>
    </row>
    <row r="101" customFormat="false" ht="19.5" hidden="false" customHeight="true" outlineLevel="0" collapsed="false">
      <c r="A101" s="42" t="s">
        <v>2</v>
      </c>
      <c r="B101" s="42" t="s">
        <v>58</v>
      </c>
      <c r="C101" s="42" t="s">
        <v>59</v>
      </c>
      <c r="D101" s="42" t="s">
        <v>60</v>
      </c>
      <c r="E101" s="42" t="s">
        <v>61</v>
      </c>
      <c r="F101" s="42" t="s">
        <v>3</v>
      </c>
      <c r="G101" s="42" t="s">
        <v>62</v>
      </c>
      <c r="H101" s="42" t="s">
        <v>63</v>
      </c>
      <c r="I101" s="42" t="s">
        <v>64</v>
      </c>
      <c r="J101" s="42" t="s">
        <v>266</v>
      </c>
    </row>
    <row r="102" customFormat="false" ht="41.75" hidden="false" customHeight="false" outlineLevel="0" collapsed="false">
      <c r="A102" s="21" t="s">
        <v>267</v>
      </c>
      <c r="B102" s="22" t="s">
        <v>268</v>
      </c>
      <c r="C102" s="22" t="s">
        <v>269</v>
      </c>
      <c r="D102" s="21" t="s">
        <v>270</v>
      </c>
      <c r="E102" s="22" t="s">
        <v>271</v>
      </c>
      <c r="F102" s="21" t="n">
        <v>1</v>
      </c>
      <c r="G102" s="23" t="n">
        <v>277.2</v>
      </c>
      <c r="H102" s="23" t="n">
        <f aca="false">IF(OR(J102="Yes",J102=TRUE()),0,F102*G102)</f>
        <v>277.2</v>
      </c>
      <c r="I102" s="24" t="str">
        <f aca="false">HYPERLINK("https://store.bruker.com/products/dpt10","Open")</f>
        <v>Open</v>
      </c>
      <c r="J102" s="43"/>
    </row>
    <row r="103" customFormat="false" ht="28.35" hidden="false" customHeight="false" outlineLevel="0" collapsed="false">
      <c r="A103" s="21" t="s">
        <v>272</v>
      </c>
      <c r="B103" s="22" t="s">
        <v>273</v>
      </c>
      <c r="C103" s="22" t="s">
        <v>274</v>
      </c>
      <c r="D103" s="21" t="s">
        <v>275</v>
      </c>
      <c r="E103" s="22" t="s">
        <v>276</v>
      </c>
      <c r="F103" s="21" t="n">
        <v>1</v>
      </c>
      <c r="G103" s="23" t="n">
        <v>77</v>
      </c>
      <c r="H103" s="23" t="n">
        <f aca="false">IF(OR(J103="Yes",J103=TRUE()),0,F103*G103)</f>
        <v>77</v>
      </c>
      <c r="I103" s="24" t="str">
        <f aca="false">HYPERLINK("https://www.nanoandmore.com/AFM-Accessories-HOPG-ZYH","Open")</f>
        <v>Open</v>
      </c>
      <c r="J103" s="43"/>
    </row>
    <row r="104" customFormat="false" ht="28.35" hidden="false" customHeight="false" outlineLevel="0" collapsed="false">
      <c r="A104" s="21" t="s">
        <v>277</v>
      </c>
      <c r="B104" s="22" t="s">
        <v>278</v>
      </c>
      <c r="C104" s="22" t="s">
        <v>279</v>
      </c>
      <c r="D104" s="21" t="s">
        <v>280</v>
      </c>
      <c r="E104" s="22" t="s">
        <v>281</v>
      </c>
      <c r="F104" s="21" t="n">
        <v>1</v>
      </c>
      <c r="G104" s="23" t="n">
        <v>133.13</v>
      </c>
      <c r="H104" s="23" t="n">
        <f aca="false">IF(OR(J104="Yes",J104=TRUE()),0,F104*G104)</f>
        <v>133.13</v>
      </c>
      <c r="I104" s="24" t="str">
        <f aca="false">HYPERLINK("https://octopart.com/search?q=8331D-14G","Open")</f>
        <v>Open</v>
      </c>
      <c r="J104" s="43"/>
    </row>
    <row r="105" customFormat="false" ht="28.35" hidden="false" customHeight="false" outlineLevel="0" collapsed="false">
      <c r="A105" s="21" t="s">
        <v>282</v>
      </c>
      <c r="B105" s="22" t="s">
        <v>283</v>
      </c>
      <c r="C105" s="22" t="s">
        <v>284</v>
      </c>
      <c r="D105" s="21" t="s">
        <v>285</v>
      </c>
      <c r="E105" s="22" t="s">
        <v>286</v>
      </c>
      <c r="F105" s="21" t="n">
        <v>1</v>
      </c>
      <c r="G105" s="23" t="n">
        <v>75.15</v>
      </c>
      <c r="H105" s="23" t="n">
        <f aca="false">IF(OR(J105="Yes",J105=TRUE()),0,F105*G105)</f>
        <v>75.15</v>
      </c>
      <c r="I105" s="24" t="str">
        <f aca="false">HYPERLINK("https://www.penntoolco.com/grizzly-9-x-12-x-2-granite-surface-plate-no-ledge-g9649/","Open")</f>
        <v>Open</v>
      </c>
      <c r="J105" s="43"/>
    </row>
    <row r="106" customFormat="false" ht="28.35" hidden="false" customHeight="false" outlineLevel="0" collapsed="false">
      <c r="A106" s="21" t="s">
        <v>39</v>
      </c>
      <c r="B106" s="22" t="s">
        <v>287</v>
      </c>
      <c r="C106" s="22" t="s">
        <v>288</v>
      </c>
      <c r="D106" s="21" t="s">
        <v>69</v>
      </c>
      <c r="E106" s="22" t="s">
        <v>289</v>
      </c>
      <c r="F106" s="21" t="n">
        <v>1</v>
      </c>
      <c r="G106" s="23" t="n">
        <v>57.99</v>
      </c>
      <c r="H106" s="23" t="n">
        <f aca="false">IF(OR(J106="Yes",J106=TRUE()),0,F106*G106)</f>
        <v>57.99</v>
      </c>
      <c r="I106" s="24" t="str">
        <f aca="false">HYPERLINK("https://www.amazon.com/s?k=FNIRSI+DST-201+oscilloscope+multimeter","Open")</f>
        <v>Open</v>
      </c>
      <c r="J106" s="43"/>
    </row>
    <row r="107" customFormat="false" ht="68.65" hidden="false" customHeight="false" outlineLevel="0" collapsed="false">
      <c r="A107" s="21" t="s">
        <v>290</v>
      </c>
      <c r="B107" s="22" t="s">
        <v>291</v>
      </c>
      <c r="C107" s="22" t="s">
        <v>292</v>
      </c>
      <c r="D107" s="21" t="s">
        <v>69</v>
      </c>
      <c r="E107" s="22" t="s">
        <v>293</v>
      </c>
      <c r="F107" s="21" t="n">
        <v>1</v>
      </c>
      <c r="G107" s="23" t="n">
        <v>40</v>
      </c>
      <c r="H107" s="23" t="n">
        <f aca="false">IF(OR(J107="Yes",J107=TRUE(),J67&lt;&gt;"Yes"),0,F107*G107)</f>
        <v>40</v>
      </c>
      <c r="I107" s="24" t="str">
        <f aca="false">HYPERLINK("https://www.amazon.com/s?k=handheld+LCR+meter","Open")</f>
        <v>Open</v>
      </c>
      <c r="J107" s="43"/>
    </row>
    <row r="108" customFormat="false" ht="55.2" hidden="false" customHeight="false" outlineLevel="0" collapsed="false">
      <c r="A108" s="21" t="s">
        <v>294</v>
      </c>
      <c r="B108" s="22" t="s">
        <v>295</v>
      </c>
      <c r="C108" s="22" t="s">
        <v>296</v>
      </c>
      <c r="D108" s="21" t="s">
        <v>69</v>
      </c>
      <c r="E108" s="22" t="s">
        <v>297</v>
      </c>
      <c r="F108" s="21" t="n">
        <v>1</v>
      </c>
      <c r="G108" s="23" t="n">
        <v>60</v>
      </c>
      <c r="H108" s="23" t="n">
        <f aca="false">IF(OR(J108="Yes",J108=TRUE()),0,F108*G108)</f>
        <v>60</v>
      </c>
      <c r="I108" s="24" t="str">
        <f aca="false">HYPERLINK("https://www.amazon.com/s?k=Michelson+interferometer+kit+beamsplitter+cube+laser+diode","Open")</f>
        <v>Open</v>
      </c>
      <c r="J108" s="43"/>
    </row>
    <row r="109" customFormat="false" ht="28.35" hidden="false" customHeight="false" outlineLevel="0" collapsed="false">
      <c r="A109" s="21" t="s">
        <v>298</v>
      </c>
      <c r="B109" s="22" t="s">
        <v>299</v>
      </c>
      <c r="C109" s="22" t="s">
        <v>288</v>
      </c>
      <c r="D109" s="21" t="s">
        <v>300</v>
      </c>
      <c r="E109" s="22" t="s">
        <v>301</v>
      </c>
      <c r="F109" s="21" t="n">
        <v>1</v>
      </c>
      <c r="G109" s="23" t="n">
        <v>25.99</v>
      </c>
      <c r="H109" s="23" t="n">
        <f aca="false">IF(OR(J109="Yes",J109=TRUE()),0,F109*G109)</f>
        <v>25.99</v>
      </c>
      <c r="I109" s="24" t="str">
        <f aca="false">HYPERLINK("https://pine64.com/?p=158078","Open")</f>
        <v>Open</v>
      </c>
      <c r="J109" s="43"/>
    </row>
    <row r="110" customFormat="false" ht="28.35" hidden="false" customHeight="false" outlineLevel="0" collapsed="false">
      <c r="A110" s="21" t="s">
        <v>302</v>
      </c>
      <c r="B110" s="22" t="s">
        <v>303</v>
      </c>
      <c r="C110" s="22" t="s">
        <v>288</v>
      </c>
      <c r="D110" s="21" t="s">
        <v>69</v>
      </c>
      <c r="E110" s="22" t="s">
        <v>304</v>
      </c>
      <c r="F110" s="21" t="n">
        <v>1</v>
      </c>
      <c r="G110" s="23" t="n">
        <v>24.97</v>
      </c>
      <c r="H110" s="23" t="n">
        <f aca="false">IF(OR(J110="Yes",J110=TRUE()),0,F110*G110)</f>
        <v>24.97</v>
      </c>
      <c r="I110" s="24" t="str">
        <f aca="false">HYPERLINK("https://www.amazon.com/s?k=Sn42Bi58+solder+paste","Open")</f>
        <v>Open</v>
      </c>
      <c r="J110" s="43"/>
    </row>
    <row r="111" customFormat="false" ht="28.35" hidden="false" customHeight="false" outlineLevel="0" collapsed="false">
      <c r="A111" s="21" t="s">
        <v>305</v>
      </c>
      <c r="B111" s="22" t="s">
        <v>306</v>
      </c>
      <c r="C111" s="22" t="s">
        <v>288</v>
      </c>
      <c r="D111" s="21" t="s">
        <v>69</v>
      </c>
      <c r="E111" s="22" t="s">
        <v>304</v>
      </c>
      <c r="F111" s="21" t="n">
        <v>1</v>
      </c>
      <c r="G111" s="23" t="n">
        <v>11.99</v>
      </c>
      <c r="H111" s="23" t="n">
        <f aca="false">IF(OR(J111="Yes",J111=TRUE()),0,F111*G111)</f>
        <v>11.99</v>
      </c>
      <c r="I111" s="24" t="str">
        <f aca="false">HYPERLINK("https://www.amazon.com/s?k=heat+shrink+tubing+kit","Open")</f>
        <v>Open</v>
      </c>
      <c r="J111" s="43"/>
    </row>
    <row r="112" customFormat="false" ht="28.35" hidden="false" customHeight="false" outlineLevel="0" collapsed="false">
      <c r="A112" s="21" t="s">
        <v>307</v>
      </c>
      <c r="B112" s="22" t="s">
        <v>308</v>
      </c>
      <c r="C112" s="22" t="s">
        <v>288</v>
      </c>
      <c r="D112" s="21" t="s">
        <v>69</v>
      </c>
      <c r="E112" s="22" t="s">
        <v>304</v>
      </c>
      <c r="F112" s="21" t="n">
        <v>1</v>
      </c>
      <c r="G112" s="23" t="n">
        <v>25.26</v>
      </c>
      <c r="H112" s="23" t="n">
        <f aca="false">IF(OR(J112="Yes",J112=TRUE()),0,F112*G112)</f>
        <v>25.26</v>
      </c>
      <c r="I112" s="24" t="str">
        <f aca="false">HYPERLINK("https://www.amazon.com/s?k=RG178+coax+cable","Open")</f>
        <v>Open</v>
      </c>
      <c r="J112" s="43"/>
    </row>
    <row r="113" customFormat="false" ht="28.35" hidden="false" customHeight="false" outlineLevel="0" collapsed="false">
      <c r="A113" s="21" t="s">
        <v>309</v>
      </c>
      <c r="B113" s="22" t="s">
        <v>310</v>
      </c>
      <c r="C113" s="22" t="s">
        <v>288</v>
      </c>
      <c r="D113" s="21" t="s">
        <v>69</v>
      </c>
      <c r="E113" s="22" t="s">
        <v>304</v>
      </c>
      <c r="F113" s="21" t="n">
        <v>1</v>
      </c>
      <c r="G113" s="23" t="n">
        <v>32.12</v>
      </c>
      <c r="H113" s="23" t="n">
        <f aca="false">IF(OR(J113="Yes",J113=TRUE()),0,F113*G113)</f>
        <v>32.12</v>
      </c>
      <c r="I113" s="24" t="str">
        <f aca="false">HYPERLINK("https://www.amazon.com/s?k=2x13+IDC+ribbon+cable","Open")</f>
        <v>Open</v>
      </c>
      <c r="J113" s="43"/>
    </row>
    <row r="114" customFormat="false" ht="28.35" hidden="false" customHeight="false" outlineLevel="0" collapsed="false">
      <c r="A114" s="21" t="s">
        <v>311</v>
      </c>
      <c r="B114" s="22" t="s">
        <v>312</v>
      </c>
      <c r="C114" s="22" t="s">
        <v>288</v>
      </c>
      <c r="D114" s="21" t="s">
        <v>69</v>
      </c>
      <c r="E114" s="22" t="s">
        <v>304</v>
      </c>
      <c r="F114" s="21" t="n">
        <v>1</v>
      </c>
      <c r="G114" s="23" t="n">
        <v>16.98</v>
      </c>
      <c r="H114" s="23" t="n">
        <f aca="false">IF(OR(J114="Yes",J114=TRUE()),0,F114*G114)</f>
        <v>16.98</v>
      </c>
      <c r="I114" s="24" t="str">
        <f aca="false">HYPERLINK("https://www.amazon.com/s?k=pin+header+kit","Open")</f>
        <v>Open</v>
      </c>
      <c r="J114" s="43"/>
    </row>
    <row r="115" customFormat="false" ht="28.35" hidden="false" customHeight="false" outlineLevel="0" collapsed="false">
      <c r="A115" s="21" t="s">
        <v>313</v>
      </c>
      <c r="B115" s="22" t="s">
        <v>314</v>
      </c>
      <c r="C115" s="22" t="s">
        <v>288</v>
      </c>
      <c r="D115" s="21" t="s">
        <v>69</v>
      </c>
      <c r="E115" s="22" t="s">
        <v>304</v>
      </c>
      <c r="F115" s="21" t="n">
        <v>1</v>
      </c>
      <c r="G115" s="23" t="n">
        <v>22.31</v>
      </c>
      <c r="H115" s="23" t="n">
        <f aca="false">IF(OR(J115="Yes",J115=TRUE()),0,F115*G115)</f>
        <v>22.31</v>
      </c>
      <c r="I115" s="24" t="str">
        <f aca="false">HYPERLINK("https://www.amazon.com/s?k=M2+M2.5+M3+screw+kit","Open")</f>
        <v>Open</v>
      </c>
      <c r="J115" s="43"/>
    </row>
    <row r="116" customFormat="false" ht="41.75" hidden="false" customHeight="false" outlineLevel="0" collapsed="false">
      <c r="A116" s="21" t="s">
        <v>315</v>
      </c>
      <c r="B116" s="22" t="s">
        <v>316</v>
      </c>
      <c r="C116" s="22" t="s">
        <v>288</v>
      </c>
      <c r="D116" s="21" t="s">
        <v>69</v>
      </c>
      <c r="E116" s="22" t="s">
        <v>304</v>
      </c>
      <c r="F116" s="21" t="n">
        <v>1</v>
      </c>
      <c r="G116" s="23" t="n">
        <v>12.17</v>
      </c>
      <c r="H116" s="23" t="n">
        <f aca="false">IF(OR(J116="Yes",J116=TRUE()),0,F116*G116)</f>
        <v>12.17</v>
      </c>
      <c r="I116" s="24" t="str">
        <f aca="false">HYPERLINK("https://www.amazon.com/s?k=precision+tweezers+set","Open")</f>
        <v>Open</v>
      </c>
      <c r="J116" s="43"/>
    </row>
    <row r="117" customFormat="false" ht="15" hidden="false" customHeight="false" outlineLevel="0" collapsed="false">
      <c r="A117" s="44" t="s">
        <v>317</v>
      </c>
      <c r="B117" s="45"/>
      <c r="C117" s="45"/>
      <c r="D117" s="45"/>
      <c r="E117" s="45"/>
      <c r="F117" s="45"/>
      <c r="G117" s="45"/>
      <c r="H117" s="46" t="n">
        <f aca="false">SUM(H102:H116)</f>
        <v>892.26</v>
      </c>
      <c r="I117" s="45"/>
      <c r="J117" s="45"/>
    </row>
    <row r="119" customFormat="false" ht="15" hidden="false" customHeight="false" outlineLevel="0" collapsed="false">
      <c r="A119" s="3" t="s">
        <v>318</v>
      </c>
      <c r="B119" s="47"/>
      <c r="C119" s="47"/>
      <c r="D119" s="47"/>
      <c r="E119" s="47"/>
      <c r="F119" s="47"/>
      <c r="G119" s="47"/>
      <c r="H119" s="47"/>
      <c r="I119" s="47"/>
      <c r="J119" s="47"/>
    </row>
    <row r="120" customFormat="false" ht="28.35" hidden="false" customHeight="false" outlineLevel="0" collapsed="false">
      <c r="A120" s="48" t="s">
        <v>319</v>
      </c>
      <c r="B120" s="49" t="s">
        <v>320</v>
      </c>
      <c r="C120" s="50"/>
      <c r="D120" s="50"/>
      <c r="E120" s="50"/>
      <c r="F120" s="50"/>
      <c r="G120" s="50"/>
      <c r="H120" s="51" t="n">
        <f aca="false">H58+IF((J67="Yes"),H92,0)+H117</f>
        <v>2114.035</v>
      </c>
      <c r="I120" s="50"/>
      <c r="J120" s="50"/>
    </row>
    <row r="121" customFormat="false" ht="15" hidden="false" customHeight="false" outlineLevel="0" collapsed="false">
      <c r="A121" s="48" t="s">
        <v>321</v>
      </c>
      <c r="B121" s="49"/>
      <c r="C121" s="50"/>
      <c r="D121" s="50"/>
      <c r="E121" s="50"/>
      <c r="F121" s="50"/>
      <c r="G121" s="50"/>
      <c r="H121" s="51" t="n">
        <f aca="false">H62+IF((J67="Yes"),H97,0)</f>
        <v>449.74</v>
      </c>
      <c r="I121" s="50"/>
      <c r="J121" s="50"/>
    </row>
    <row r="122" customFormat="false" ht="15" hidden="false" customHeight="false" outlineLevel="0" collapsed="false">
      <c r="A122" s="48" t="s">
        <v>322</v>
      </c>
      <c r="B122" s="49"/>
      <c r="C122" s="50"/>
      <c r="D122" s="50"/>
      <c r="E122" s="50"/>
      <c r="F122" s="50"/>
      <c r="G122" s="50"/>
      <c r="H122" s="51" t="n">
        <f aca="false">ROUND(H120*0.0775,2)</f>
        <v>163.84</v>
      </c>
      <c r="I122" s="50"/>
      <c r="J122" s="50"/>
    </row>
    <row r="123" customFormat="false" ht="15" hidden="false" customHeight="false" outlineLevel="0" collapsed="false">
      <c r="A123" s="48" t="s">
        <v>323</v>
      </c>
      <c r="B123" s="49"/>
      <c r="C123" s="50"/>
      <c r="D123" s="50"/>
      <c r="E123" s="50"/>
      <c r="F123" s="50"/>
      <c r="G123" s="50"/>
      <c r="H123" s="51" t="n">
        <f aca="false">ROUND((H120+H121+H122)*0.1,2)</f>
        <v>272.76</v>
      </c>
      <c r="I123" s="50"/>
      <c r="J123" s="50"/>
    </row>
    <row r="124" customFormat="false" ht="15" hidden="false" customHeight="false" outlineLevel="0" collapsed="false">
      <c r="A124" s="11" t="s">
        <v>324</v>
      </c>
      <c r="B124" s="52"/>
      <c r="C124" s="12"/>
      <c r="D124" s="12"/>
      <c r="E124" s="12"/>
      <c r="F124" s="12"/>
      <c r="G124" s="12"/>
      <c r="H124" s="13" t="n">
        <f aca="false">H120+H121+H122+H123</f>
        <v>3000.375</v>
      </c>
      <c r="I124" s="12"/>
      <c r="J124" s="12"/>
    </row>
    <row r="125" customFormat="false" ht="15" hidden="false" customHeight="false" outlineLevel="0" collapsed="false">
      <c r="A125" s="48" t="s">
        <v>325</v>
      </c>
      <c r="B125" s="49" t="s">
        <v>326</v>
      </c>
      <c r="C125" s="50"/>
      <c r="D125" s="50"/>
      <c r="E125" s="50"/>
      <c r="F125" s="50"/>
      <c r="G125" s="50"/>
      <c r="H125" s="51" t="n">
        <f aca="false">2000-H124</f>
        <v>-1000.375</v>
      </c>
      <c r="I125" s="50"/>
      <c r="J125" s="50"/>
    </row>
    <row r="127" customFormat="false" ht="15" hidden="false" customHeight="false" outlineLevel="0" collapsed="false">
      <c r="A127" s="53" t="s">
        <v>327</v>
      </c>
    </row>
    <row r="128" customFormat="false" ht="15" hidden="false" customHeight="false" outlineLevel="0" collapsed="false">
      <c r="A128" s="3" t="s">
        <v>328</v>
      </c>
      <c r="B128" s="47"/>
      <c r="C128" s="3" t="s">
        <v>319</v>
      </c>
      <c r="D128" s="3" t="s">
        <v>329</v>
      </c>
      <c r="E128" s="3" t="s">
        <v>330</v>
      </c>
      <c r="F128" s="3" t="s">
        <v>331</v>
      </c>
      <c r="G128" s="47"/>
      <c r="H128" s="3" t="s">
        <v>63</v>
      </c>
    </row>
    <row r="129" customFormat="false" ht="15" hidden="false" customHeight="false" outlineLevel="0" collapsed="false">
      <c r="A129" s="54" t="s">
        <v>332</v>
      </c>
      <c r="B129" s="54"/>
      <c r="C129" s="6" t="n">
        <f aca="false">H58+SUMPRODUCT(F102:F116,G102:G116)-F107*G107</f>
        <v>1701.92</v>
      </c>
      <c r="D129" s="6" t="n">
        <f aca="false">H62</f>
        <v>281.88</v>
      </c>
      <c r="E129" s="6" t="n">
        <f aca="false">ROUND(C129*0.0775,2)</f>
        <v>131.9</v>
      </c>
      <c r="F129" s="6" t="n">
        <f aca="false">ROUND((C129+D129+E129)*0.1,2)</f>
        <v>211.57</v>
      </c>
      <c r="H129" s="55" t="n">
        <f aca="false">C129+D129+E129+F129</f>
        <v>2327.27</v>
      </c>
    </row>
    <row r="130" customFormat="false" ht="15" hidden="false" customHeight="false" outlineLevel="0" collapsed="false">
      <c r="A130" s="54" t="s">
        <v>333</v>
      </c>
      <c r="B130" s="54"/>
      <c r="C130" s="6" t="n">
        <f aca="false">H58</f>
        <v>849.66</v>
      </c>
      <c r="D130" s="6" t="n">
        <f aca="false">H62</f>
        <v>281.88</v>
      </c>
      <c r="E130" s="6" t="n">
        <f aca="false">ROUND(C130*0.0775,2)</f>
        <v>65.85</v>
      </c>
      <c r="F130" s="6" t="n">
        <f aca="false">ROUND((C130+D130+E130)*0.1,2)</f>
        <v>119.74</v>
      </c>
      <c r="H130" s="55" t="n">
        <f aca="false">C130+D130+E130+F130</f>
        <v>1317.13</v>
      </c>
    </row>
    <row r="131" customFormat="false" ht="15" hidden="false" customHeight="false" outlineLevel="0" collapsed="false">
      <c r="A131" s="54" t="s">
        <v>334</v>
      </c>
      <c r="B131" s="54"/>
      <c r="C131" s="6" t="n">
        <f aca="false">H58+H92+SUMPRODUCT(F102:F116,G102:G116)</f>
        <v>2114.035</v>
      </c>
      <c r="D131" s="6" t="n">
        <f aca="false">H62+H97</f>
        <v>449.74</v>
      </c>
      <c r="E131" s="6" t="n">
        <f aca="false">ROUND(C131*0.0775,2)</f>
        <v>163.84</v>
      </c>
      <c r="F131" s="6" t="n">
        <f aca="false">ROUND((C131+D131+E131)*0.1,2)</f>
        <v>272.76</v>
      </c>
      <c r="H131" s="55" t="n">
        <f aca="false">C131+D131+E131+F131</f>
        <v>3000.375</v>
      </c>
    </row>
    <row r="132" customFormat="false" ht="15" hidden="false" customHeight="false" outlineLevel="0" collapsed="false">
      <c r="A132" s="54" t="s">
        <v>335</v>
      </c>
      <c r="B132" s="54"/>
      <c r="C132" s="6" t="n">
        <f aca="false">H58+H92</f>
        <v>1221.775</v>
      </c>
      <c r="D132" s="6" t="n">
        <f aca="false">H62+H97</f>
        <v>449.74</v>
      </c>
      <c r="E132" s="6" t="n">
        <f aca="false">ROUND(C132*0.0775,2)</f>
        <v>94.69</v>
      </c>
      <c r="F132" s="6" t="n">
        <f aca="false">ROUND((C132+D132+E132)*0.1,2)</f>
        <v>176.62</v>
      </c>
      <c r="H132" s="55" t="n">
        <f aca="false">C132+D132+E132+F132</f>
        <v>1942.825</v>
      </c>
    </row>
    <row r="133" customFormat="false" ht="15" hidden="false" customHeight="false" outlineLevel="0" collapsed="false">
      <c r="A133" s="2" t="s">
        <v>336</v>
      </c>
    </row>
  </sheetData>
  <mergeCells count="12">
    <mergeCell ref="A2:J2"/>
    <mergeCell ref="A5:B5"/>
    <mergeCell ref="A6:B6"/>
    <mergeCell ref="A7:B7"/>
    <mergeCell ref="A8:B8"/>
    <mergeCell ref="A9:B9"/>
    <mergeCell ref="A10:B10"/>
    <mergeCell ref="A66:J66"/>
    <mergeCell ref="A129:B129"/>
    <mergeCell ref="A130:B130"/>
    <mergeCell ref="A131:B131"/>
    <mergeCell ref="A132:B132"/>
  </mergeCells>
  <dataValidations count="3">
    <dataValidation allowBlank="false" errorStyle="stop" operator="between" showDropDown="false" showErrorMessage="false" showInputMessage="false" sqref="J67" type="list">
      <formula1>"Yes,No"</formula1>
      <formula2>0</formula2>
    </dataValidation>
    <dataValidation allowBlank="false" errorStyle="stop" operator="between" showDropDown="false" showErrorMessage="false" showInputMessage="false" sqref="J90:J91" type="list">
      <formula1>"Yes,No"</formula1>
      <formula2>0</formula2>
    </dataValidation>
    <dataValidation allowBlank="true" errorStyle="stop" operator="between" showDropDown="false" showErrorMessage="false" showInputMessage="false" sqref="J102:J11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2026-10-21T21:28:03Z</dcterms:created>
  <dc:creator>openpyxl</dc:creator>
  <dc:description/>
  <dc:language>en-US</dc:language>
  <cp:lastModifiedBy/>
  <dcterms:modified xsi:type="dcterms:W3CDTF">2026-10-21T21:28:03Z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