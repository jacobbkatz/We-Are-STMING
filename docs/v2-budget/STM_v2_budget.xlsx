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600" firstSheet="0" activeTab="1"/>
  </bookViews>
  <sheets>
    <sheet name="v1 (what it cost)" sheetId="1" state="visible" r:id="rId3"/>
    <sheet name="v2 budget" sheetId="2" state="visible" r:id="rId4"/>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<sst xmlns="http://schemas.openxmlformats.org/spreadsheetml/2006/main" count="535" uniqueCount="359">
  <si>
    <t xml:space="preserve">STM v1: what it actually cost</t>
  </si>
  <si>
    <t xml:space="preserve">From v1's receipts and invoices, June to September 2026, in US dollars.</t>
  </si>
  <si>
    <t xml:space="preserve">Item</t>
  </si>
  <si>
    <t xml:space="preserve">Qty</t>
  </si>
  <si>
    <t xml:space="preserve">Cost</t>
  </si>
  <si>
    <t xml:space="preserve">Note</t>
  </si>
  <si>
    <t xml:space="preserve">Circuit boards (JLCPCB, July)</t>
  </si>
  <si>
    <t xml:space="preserve">Main controller boards, assembled</t>
  </si>
  <si>
    <t xml:space="preserve">Preamp boards, assembled</t>
  </si>
  <si>
    <t xml:space="preserve">Blank controller boards</t>
  </si>
  <si>
    <t xml:space="preserve">Blank preamp boards</t>
  </si>
  <si>
    <t xml:space="preserve">Discount</t>
  </si>
  <si>
    <t xml:space="preserve">Shipping</t>
  </si>
  <si>
    <t xml:space="preserve">Import tariff</t>
  </si>
  <si>
    <t xml:space="preserve">Tax</t>
  </si>
  <si>
    <t xml:space="preserve">Subtotal</t>
  </si>
  <si>
    <t xml:space="preserve">Adjustment screws (Thorlabs, June)</t>
  </si>
  <si>
    <t xml:space="preserve">Adjustment screws (FAS200, 2 in long: longer than the design needs)</t>
  </si>
  <si>
    <t xml:space="preserve">Electronic parts (DigiKey, three orders)</t>
  </si>
  <si>
    <t xml:space="preserve">Op-amp for U21 (LT1469)</t>
  </si>
  <si>
    <t xml:space="preserve">DB9 connectors</t>
  </si>
  <si>
    <t xml:space="preserve">Standoffs, wrong size (did not fit)</t>
  </si>
  <si>
    <t xml:space="preserve">Standoffs, right size</t>
  </si>
  <si>
    <t xml:space="preserve">Amazon (tools, wire, connectors, supplies), 42 purchases grouped</t>
  </si>
  <si>
    <t xml:space="preserve">Screws, nuts and threaded rod</t>
  </si>
  <si>
    <t xml:space="preserve">4 purchases</t>
  </si>
  <si>
    <t xml:space="preserve">Wire and cables</t>
  </si>
  <si>
    <t xml:space="preserve">6 purchases</t>
  </si>
  <si>
    <t xml:space="preserve">Connectors and chip sockets</t>
  </si>
  <si>
    <t xml:space="preserve">3 purchases</t>
  </si>
  <si>
    <t xml:space="preserve">Solder, flux and heat-shrink</t>
  </si>
  <si>
    <t xml:space="preserve">Copper and aluminium tape</t>
  </si>
  <si>
    <t xml:space="preserve">2 purchases</t>
  </si>
  <si>
    <t xml:space="preserve">Magnets</t>
  </si>
  <si>
    <t xml:space="preserve">Springs (v1 suspension)</t>
  </si>
  <si>
    <t xml:space="preserve">Standoffs and heat-set inserts</t>
  </si>
  <si>
    <t xml:space="preserve">3D printer plastic</t>
  </si>
  <si>
    <t xml:space="preserve">Microcontroller (Teensy 4.1)</t>
  </si>
  <si>
    <t xml:space="preserve">Bench power supply</t>
  </si>
  <si>
    <t xml:space="preserve">Oscilloscope</t>
  </si>
  <si>
    <t xml:space="preserve">Motor (original small stepper)</t>
  </si>
  <si>
    <t xml:space="preserve">Piezo discs (v1 scanner)</t>
  </si>
  <si>
    <t xml:space="preserve">Tip wire (tungsten)</t>
  </si>
  <si>
    <t xml:space="preserve">Gold leaf (v1 sample)</t>
  </si>
  <si>
    <t xml:space="preserve">Aluminium disc</t>
  </si>
  <si>
    <t xml:space="preserve">Prototype board kit</t>
  </si>
  <si>
    <t xml:space="preserve">Tweezers, wrist strap, applicators and wipes</t>
  </si>
  <si>
    <t xml:space="preserve">Other small items (receipts unreadable)</t>
  </si>
  <si>
    <t xml:space="preserve">v1 TOTAL</t>
  </si>
  <si>
    <t xml:space="preserve">STM v2 at UCSD: budget request</t>
  </si>
  <si>
    <t xml:space="preserve">Parts and costs to build a second scanning tunneling microscope (v2) at UCSD, improving on the first one we built (v1). Prices checked 21 October 2026, in US dollars.</t>
  </si>
  <si>
    <t xml:space="preserve">Summary: total cost</t>
  </si>
  <si>
    <t xml:space="preserve">If UCSD supplies nothing in section 9</t>
  </si>
  <si>
    <t xml:space="preserve">If UCSD supplies everything in section 9</t>
  </si>
  <si>
    <t xml:space="preserve">Without the piezo upgrade (section 8 off)</t>
  </si>
  <si>
    <t xml:space="preserve">With the piezo upgrade (section 8 on)</t>
  </si>
  <si>
    <t xml:space="preserve">Total with the choices currently made in this sheet</t>
  </si>
  <si>
    <t xml:space="preserve">What v1 actually cost, for comparison</t>
  </si>
  <si>
    <t xml:space="preserve">How to read this sheet</t>
  </si>
  <si>
    <t xml:space="preserve">What an STM is</t>
  </si>
  <si>
    <t xml:space="preserve">A microscope that can image individual atoms. It holds a needle-sharp metal tip a few atoms above a sample and measures the tiny electric current that flows across the gap.</t>
  </si>
  <si>
    <t xml:space="preserve">Sections 1 to 7</t>
  </si>
  <si>
    <t xml:space="preserve">Everything needed for a complete, working microscope. It runs on batteries.</t>
  </si>
  <si>
    <t xml:space="preserve">Section 8</t>
  </si>
  <si>
    <t xml:space="preserve">An optional upgrade to a better scanner. One Yes/No switch adds it to the total or removes it.</t>
  </si>
  <si>
    <t xml:space="preserve">Section 9</t>
  </si>
  <si>
    <t xml:space="preserve">Tools and supplies a UCSD lab may already have. Choose Yes next to an item if UCSD will provide it, and it comes off the total.</t>
  </si>
  <si>
    <t xml:space="preserve">Compared with v1</t>
  </si>
  <si>
    <t xml:space="preserve">Whether each item is the same as in our first microscope (v1), new, or changed, and why.</t>
  </si>
  <si>
    <t xml:space="preserve">Price source</t>
  </si>
  <si>
    <t xml:space="preserve">Catalog: the seller's listed price. v1 receipt: what we paid for the same item for v1 in 2026. Estimate: a typical price, to be confirmed by quote.</t>
  </si>
  <si>
    <t xml:space="preserve">What the totals include</t>
  </si>
  <si>
    <t xml:space="preserve">Parts, shipping, import fees, 7.75% sales tax, and a 10% contingency for price changes.</t>
  </si>
  <si>
    <t xml:space="preserve">Terms</t>
  </si>
  <si>
    <t xml:space="preserve">Piezo: a ceramic part that moves by tiny, precise amounts when voltage is applied. Circuit board: the board the electronic parts are soldered to. Tariff: a US tax on imported goods.</t>
  </si>
  <si>
    <t xml:space="preserve">What it is for</t>
  </si>
  <si>
    <t xml:space="preserve">Seller</t>
  </si>
  <si>
    <t xml:space="preserve">Part number</t>
  </si>
  <si>
    <t xml:space="preserve">Price each</t>
  </si>
  <si>
    <t xml:space="preserve">Total</t>
  </si>
  <si>
    <t xml:space="preserve">Link</t>
  </si>
  <si>
    <t xml:space="preserve">1. Scanner: moves the tip over the sample</t>
  </si>
  <si>
    <t xml:space="preserve">Piezo disc</t>
  </si>
  <si>
    <t xml:space="preserve">Moves the tip across the sample and up and down, by less than the width of an atom. A thin ceramic disc that bends slightly when voltage is applied. Pack of 30, because discs are easily damaged during soldering.</t>
  </si>
  <si>
    <t xml:space="preserve">Same as v1.</t>
  </si>
  <si>
    <t xml:space="preserve">Amazon</t>
  </si>
  <si>
    <t xml:space="preserve">JESSINIE 18 mm piezo discs, 30 pcs</t>
  </si>
  <si>
    <t xml:space="preserve">v1 receipt</t>
  </si>
  <si>
    <t xml:space="preserve">2. Sample approach: brings the sample up to the tip</t>
  </si>
  <si>
    <t xml:space="preserve">Motor</t>
  </si>
  <si>
    <t xml:space="preserve">Turns one adjustment screw to bring the sample slowly up to the tip. Once the sample is close, the scanner takes over.</t>
  </si>
  <si>
    <t xml:space="preserve">New. Replaces v1's low-precision hobby motor. Smaller steps make it less likely to crash the tip into the sample.</t>
  </si>
  <si>
    <t xml:space="preserve">Adafruit</t>
  </si>
  <si>
    <t xml:space="preserve">324 (standard NEMA-17 size)</t>
  </si>
  <si>
    <t xml:space="preserve">Catalog</t>
  </si>
  <si>
    <t xml:space="preserve">Motor controller</t>
  </si>
  <si>
    <t xml:space="preserve">Small board that lets the main electronics drive the motor in very fine steps.</t>
  </si>
  <si>
    <t xml:space="preserve">New. Needed for the new motor.</t>
  </si>
  <si>
    <t xml:space="preserve">6121</t>
  </si>
  <si>
    <t xml:space="preserve">Adjustment screws</t>
  </si>
  <si>
    <t xml:space="preserve">Very fine screws, 1.25 in long, that hold and level the sample holder. One full turn moves only 0.3 mm. The motor turns one; the other two are set by hand.</t>
  </si>
  <si>
    <t xml:space="preserve">Changed. v1's screws were 2 in long, longer than the design needs, which made the microscope taller and less steady.</t>
  </si>
  <si>
    <t xml:space="preserve">Thorlabs</t>
  </si>
  <si>
    <t xml:space="preserve">FAS125</t>
  </si>
  <si>
    <t xml:space="preserve">Metal screw sleeves</t>
  </si>
  <si>
    <t xml:space="preserve">Metal sleeves set into the 3D-printed frame, so the screws turn in metal instead of plastic.</t>
  </si>
  <si>
    <t xml:space="preserve">New. In v1 the screws turned directly in plastic, which wears and loosens.</t>
  </si>
  <si>
    <t xml:space="preserve">F25SSN1</t>
  </si>
  <si>
    <t xml:space="preserve">3. Main electronics: run the microscope and record the image</t>
  </si>
  <si>
    <t xml:space="preserve">Main circuit boards</t>
  </si>
  <si>
    <t xml:space="preserve">The main electronics. They produce the signals that move the scanner and record the tip current. The factory solders on most parts. 2 boards: one to use, one spare.</t>
  </si>
  <si>
    <t xml:space="preserve">Same design as v1, at the price v1 paid.</t>
  </si>
  <si>
    <t xml:space="preserve">JLCPCB</t>
  </si>
  <si>
    <t xml:space="preserve">custom (v1 design)</t>
  </si>
  <si>
    <t xml:space="preserve">Extra blank main boards</t>
  </si>
  <si>
    <t xml:space="preserve">The factory's minimum order is 5 boards. 2 come assembled (above); these 3 come blank for a small extra charge.</t>
  </si>
  <si>
    <t xml:space="preserve">custom</t>
  </si>
  <si>
    <t xml:space="preserve">Chip for the main board</t>
  </si>
  <si>
    <t xml:space="preserve">One chip the factory could not supply, so we solder it on ourselves. 1 plus 1 spare.</t>
  </si>
  <si>
    <t xml:space="preserve">DigiKey</t>
  </si>
  <si>
    <t xml:space="preserve">LT1469</t>
  </si>
  <si>
    <t xml:space="preserve">Microcontroller</t>
  </si>
  <si>
    <t xml:space="preserve">Small computer board that runs the microscope and connects to a laptop by USB. Powered by the laptop.</t>
  </si>
  <si>
    <t xml:space="preserve">SparkFun</t>
  </si>
  <si>
    <t xml:space="preserve">Teensy 4.1</t>
  </si>
  <si>
    <t xml:space="preserve">4. Signal amplifier: reads the tiny tip current</t>
  </si>
  <si>
    <t xml:space="preserve">Signal amplifier boards</t>
  </si>
  <si>
    <t xml:space="preserve">The current between tip and sample is about one billionth of an amp. This board amplifies it so the main electronics can measure it. The factory solders on most parts. 2 boards: one to use, one spare.</t>
  </si>
  <si>
    <t xml:space="preserve">Changed. Fixes a missing ground connection in v1's board that made readings unreliable. Same size and price as v1.</t>
  </si>
  <si>
    <t xml:space="preserve">custom (v2 preamp design)</t>
  </si>
  <si>
    <t xml:space="preserve">Extra blank amplifier boards</t>
  </si>
  <si>
    <t xml:space="preserve">High-value resistor</t>
  </si>
  <si>
    <t xml:space="preserve">Sets how strongly the signal amplifier amplifies. Soldered on by hand. 1 plus 1 spare.</t>
  </si>
  <si>
    <t xml:space="preserve">Changed. Gives a 10 times stronger signal than v1's. Recommended by Baird Bankovic, a Cornell graduate student who advises the project.</t>
  </si>
  <si>
    <t xml:space="preserve">Ohmite SM104031007FE</t>
  </si>
  <si>
    <t xml:space="preserve">Insulated post</t>
  </si>
  <si>
    <t xml:space="preserve">Small Teflon post where the tip wire joins the amplifier, so no stray current leaks in. 1 plus 1 spare.</t>
  </si>
  <si>
    <t xml:space="preserve">Keystone 11301</t>
  </si>
  <si>
    <t xml:space="preserve">Copper tape</t>
  </si>
  <si>
    <t xml:space="preserve">Wrapped around the amplifier's box to shield the tiny tip current from electrical noise.</t>
  </si>
  <si>
    <t xml:space="preserve">Same as v1. Listed as a purchase because labs rarely stock it.</t>
  </si>
  <si>
    <t xml:space="preserve">Kirecoo copper foil tape, 2 in x 33 ft</t>
  </si>
  <si>
    <t xml:space="preserve">5. Frame and sample holder</t>
  </si>
  <si>
    <t xml:space="preserve">3D printer filament</t>
  </si>
  <si>
    <t xml:space="preserve">1 kg spool of carbon-fiber plastic for printing the microscope body, sample holder and frame.</t>
  </si>
  <si>
    <t xml:space="preserve">Changed. Stiffer than v1's nylon, and cheaper.</t>
  </si>
  <si>
    <t xml:space="preserve">SUNLU</t>
  </si>
  <si>
    <t xml:space="preserve">PETG-CF, 1 kg</t>
  </si>
  <si>
    <t xml:space="preserve">Steel balls</t>
  </si>
  <si>
    <t xml:space="preserve">Hard steel balls (pack of 100). The three screw tips rest on them.</t>
  </si>
  <si>
    <t xml:space="preserve">New. They make the sample holder sit in exactly the same place every time.</t>
  </si>
  <si>
    <t xml:space="preserve">uxcell 0.18 in, 100 pcs</t>
  </si>
  <si>
    <t xml:space="preserve">Sample discs</t>
  </si>
  <si>
    <t xml:space="preserve">Small steel discs (pack of 50). The sample is glued to one, and magnets hold it in place.</t>
  </si>
  <si>
    <t xml:space="preserve">New. Magnets replace v1's springs and rubber bands, which let the sample move.</t>
  </si>
  <si>
    <t xml:space="preserve">Ted Pella</t>
  </si>
  <si>
    <t xml:space="preserve">16208, pack of 50</t>
  </si>
  <si>
    <t xml:space="preserve">Small, strong magnets in the sample holder that grip the steel sample disc.</t>
  </si>
  <si>
    <t xml:space="preserve">Same as v1. Listed as a purchase because labs rarely stock them.</t>
  </si>
  <si>
    <t xml:space="preserve">TRYMAG small neodymium magnets</t>
  </si>
  <si>
    <t xml:space="preserve">Vibration pads</t>
  </si>
  <si>
    <t xml:space="preserve">Rubber pads under the microscope that absorb building vibration.</t>
  </si>
  <si>
    <t xml:space="preserve">New. Replace v1's spring-hung platform.</t>
  </si>
  <si>
    <t xml:space="preserve">Isolate It</t>
  </si>
  <si>
    <t xml:space="preserve">Sorbothane 6x6 in, 2-pack</t>
  </si>
  <si>
    <t xml:space="preserve">Estimate</t>
  </si>
  <si>
    <t xml:space="preserve">6. Temperature sensors</t>
  </si>
  <si>
    <t xml:space="preserve">Temperature sensors</t>
  </si>
  <si>
    <t xml:space="preserve">Record the temperature at two points on the microscope. 2 sensors.</t>
  </si>
  <si>
    <t xml:space="preserve">New. Show whether slow drift in the image is caused by temperature changes.</t>
  </si>
  <si>
    <t xml:space="preserve">4821 (TMP117)</t>
  </si>
  <si>
    <t xml:space="preserve">7. Batteries: the microscope runs on batteries, not wall power</t>
  </si>
  <si>
    <t xml:space="preserve">9 V batteries</t>
  </si>
  <si>
    <t xml:space="preserve">Power the main electronics (6 batteries) and the signal amplifier (2). Two 12-packs give three full sets.</t>
  </si>
  <si>
    <t xml:space="preserve">New. v1 used a plug-in power supply. Batteries keep electrical noise from wall power out of the measurement (Baird Bankovic's advice).</t>
  </si>
  <si>
    <t xml:space="preserve">Battery Junction</t>
  </si>
  <si>
    <t xml:space="preserve">Energizer Industrial EN22, 12-pack</t>
  </si>
  <si>
    <t xml:space="preserve">9 V battery clips</t>
  </si>
  <si>
    <t xml:space="preserve">Connect the 9 V batteries to the electronics. 8 plus 2 spares.</t>
  </si>
  <si>
    <t xml:space="preserve">New. Go with the batteries.</t>
  </si>
  <si>
    <t xml:space="preserve">Keystone 232</t>
  </si>
  <si>
    <t xml:space="preserve">AA batteries</t>
  </si>
  <si>
    <t xml:space="preserve">Power the motor, 8 at a time. The 24-pack gives three sets.</t>
  </si>
  <si>
    <t xml:space="preserve">New. Replace the plug-in power supply for the motor.</t>
  </si>
  <si>
    <t xml:space="preserve">Energizer Industrial EN91, 24-pack</t>
  </si>
  <si>
    <t xml:space="preserve">AA battery holder</t>
  </si>
  <si>
    <t xml:space="preserve">Holds 8 AA batteries for the motor. 1 plus 1 spare.</t>
  </si>
  <si>
    <t xml:space="preserve">New. Goes with the AA batteries.</t>
  </si>
  <si>
    <t xml:space="preserve">449</t>
  </si>
  <si>
    <t xml:space="preserve">Parts for sections 1 to 7</t>
  </si>
  <si>
    <t xml:space="preserve">Shipping and import fees for sections 1 to 7</t>
  </si>
  <si>
    <t xml:space="preserve">Standard shipping, estimated per seller: JLCPCB $25.00, Thorlabs $15.26, Ted Pella $15.00, Adafruit $10.00, Isolate It $10.00, Battery Junction $10.00, DigiKey $8.49, SparkFun $8.00, SUNLU $5.00. Amazon ships free, and the small electronic parts ship with the circuit boards.</t>
  </si>
  <si>
    <t xml:space="preserve">Import tariff on circuit boards</t>
  </si>
  <si>
    <t xml:space="preserve">The US charges a 35% tariff on circuit boards and parts from China. Applied to the $487.06 of boards and parts from JLCPCB, the circuit board factory, and LCSC, its parts supplier. Only US-made boards avoid it, and they cost more.</t>
  </si>
  <si>
    <t xml:space="preserve">Other import fees</t>
  </si>
  <si>
    <t xml:space="preserve">DigiKey, an electronics seller, adds a small import charge (about 8%) to imported chips.</t>
  </si>
  <si>
    <t xml:space="preserve">Shipping and import fees</t>
  </si>
  <si>
    <t xml:space="preserve">UCSD purchasing may have its own shipping accounts or discounts, which could lower these costs. Not counted here.</t>
  </si>
  <si>
    <t xml:space="preserve">8. Optional upgrade: piezo tube scanner</t>
  </si>
  <si>
    <t xml:space="preserve">Prof. Vasquez suggested replacing the flat piezo disc (section 1) with a piezo tube, which should give steadier scans. Our own study agrees, but recommends first fixing how the sample is held and checking temperature effects, because those cause most of v1's unsteadiness. The microscope works without this section. Set the switch to Yes to include it in the total, or No to leave it out.</t>
  </si>
  <si>
    <t xml:space="preserve">Include this upgrade in the total?</t>
  </si>
  <si>
    <t xml:space="preserve">Switch:</t>
  </si>
  <si>
    <t xml:space="preserve">Yes</t>
  </si>
  <si>
    <t xml:space="preserve">Include?</t>
  </si>
  <si>
    <t xml:space="preserve">Piezo tube</t>
  </si>
  <si>
    <t xml:space="preserve">Replaces the disc in section 1. A ceramic tube that bends and stretches slightly when voltage is applied, moving the tip by less than the width of an atom.</t>
  </si>
  <si>
    <t xml:space="preserve">New. Prof. Vasquez's suggestion, for steadier scanning.</t>
  </si>
  <si>
    <t xml:space="preserve">PiezoDrive</t>
  </si>
  <si>
    <t xml:space="preserve">TB3006-N</t>
  </si>
  <si>
    <t xml:space="preserve">Mounting and wiring the tube</t>
  </si>
  <si>
    <t xml:space="preserve">Ceramic mounting block</t>
  </si>
  <si>
    <t xml:space="preserve">Small insulating ceramic block that the tube is glued to, holding it rigidly. Needs a few holes drilled; an aluminium block is the fallback.</t>
  </si>
  <si>
    <t xml:space="preserve">New. Holds the tube.</t>
  </si>
  <si>
    <t xml:space="preserve">Macor rod or plate offcut</t>
  </si>
  <si>
    <t xml:space="preserve">Structural glue (epoxy)</t>
  </si>
  <si>
    <t xml:space="preserve">Strong glue that bonds the tube to its block.</t>
  </si>
  <si>
    <t xml:space="preserve">New. v1 used superglue, whose fumes contaminate the electronics.</t>
  </si>
  <si>
    <t xml:space="preserve">Loctite EA E-30CL or similar</t>
  </si>
  <si>
    <t xml:space="preserve">Conductive glue</t>
  </si>
  <si>
    <t xml:space="preserve">Glue that conducts electricity. Attaches wires to the tube without soldering heat, which can damage it.</t>
  </si>
  <si>
    <t xml:space="preserve">New. Needed to wire the tube.</t>
  </si>
  <si>
    <t xml:space="preserve">CW2400 or similar</t>
  </si>
  <si>
    <t xml:space="preserve">Tip holder tubing</t>
  </si>
  <si>
    <t xml:space="preserve">Thin stainless steel tubing that grips the tip at the end of the tube.</t>
  </si>
  <si>
    <t xml:space="preserve">New. Replaces v1's glued tip holder.</t>
  </si>
  <si>
    <t xml:space="preserve">stainless hypodermic tubing, about 23 gauge</t>
  </si>
  <si>
    <t xml:space="preserve">Thin shielded tip cable</t>
  </si>
  <si>
    <t xml:space="preserve">Very thin (about 1 mm), flexible shielded cable that carries the tip current to the amplifier. 1 m.</t>
  </si>
  <si>
    <t xml:space="preserve">New. The tip now moves with the tube, so its cable must be thin and flexible.</t>
  </si>
  <si>
    <t xml:space="preserve">micro-coax, about 1 mm, 1 m</t>
  </si>
  <si>
    <t xml:space="preserve">Metal box for the driver</t>
  </si>
  <si>
    <t xml:space="preserve">Holds the high-voltage driver board. Keeps its 45 V away from fingers and blocks electrical noise.</t>
  </si>
  <si>
    <t xml:space="preserve">New. Houses the driver.</t>
  </si>
  <si>
    <t xml:space="preserve">diecast aluminium, about 112 x 60 x 31 mm</t>
  </si>
  <si>
    <t xml:space="preserve">Cable connectors</t>
  </si>
  <si>
    <t xml:space="preserve">Plugs and sockets connecting the driver box to the main electronics and to the microscope.</t>
  </si>
  <si>
    <t xml:space="preserve">New. Go with the driver box.</t>
  </si>
  <si>
    <t xml:space="preserve">DB9 plug and socket with covers</t>
  </si>
  <si>
    <t xml:space="preserve">High-voltage cable</t>
  </si>
  <si>
    <t xml:space="preserve">Shielded 5-wire cable, rated 100 V or more, from the driver box to the microscope. 1 m.</t>
  </si>
  <si>
    <t xml:space="preserve">New. Carries the 45 V signals to the tube.</t>
  </si>
  <si>
    <t xml:space="preserve">5-core shielded cable, 1 m</t>
  </si>
  <si>
    <t xml:space="preserve">Test capacitors</t>
  </si>
  <si>
    <t xml:space="preserve">Stand in for the tube while the driver is first tested, so a wiring mistake cannot crack the tube. 4 plus 4 spares.</t>
  </si>
  <si>
    <t xml:space="preserve">New. Protect the tube during testing.</t>
  </si>
  <si>
    <t xml:space="preserve">2.2 nF 100 V film</t>
  </si>
  <si>
    <t xml:space="preserve">Mounting screws and sleeves</t>
  </si>
  <si>
    <t xml:space="preserve">Metal sleeves set into the printed frame, with screws, to fix the ceramic block in place.</t>
  </si>
  <si>
    <t xml:space="preserve">New. Needed to mount the tube.</t>
  </si>
  <si>
    <t xml:space="preserve">M3 heat-set inserts and screws</t>
  </si>
  <si>
    <t xml:space="preserve">High-voltage driver: powers the tube</t>
  </si>
  <si>
    <t xml:space="preserve">High-voltage amplifier chips</t>
  </si>
  <si>
    <t xml:space="preserve">Raise the control signals to about 45 V, which the tube needs. One chip for each of the tube's 4 outer contacts, plus 1 spare (its inner contact needs none).</t>
  </si>
  <si>
    <t xml:space="preserve">New. The main electronics cannot supply this much voltage.</t>
  </si>
  <si>
    <t xml:space="preserve">LCSC</t>
  </si>
  <si>
    <t xml:space="preserve">OPA454</t>
  </si>
  <si>
    <t xml:space="preserve">Small electronic parts</t>
  </si>
  <si>
    <t xml:space="preserve">Resistors, capacitors, connectors and heat sinks for the driver board. Capped at $40; the exact list follows once the circuit is designed.</t>
  </si>
  <si>
    <t xml:space="preserve">New. Part of the driver.</t>
  </si>
  <si>
    <t xml:space="preserve">to be listed</t>
  </si>
  <si>
    <t xml:space="preserve">Driver circuit boards</t>
  </si>
  <si>
    <t xml:space="preserve">Blank boards for the driver circuit, from the same factory as the other boards (minimum order 5).</t>
  </si>
  <si>
    <t xml:space="preserve">Extra batteries for the driver</t>
  </si>
  <si>
    <t xml:space="preserve">Extra 9 V batteries</t>
  </si>
  <si>
    <t xml:space="preserve">Power the driver: 10 more batteries per set. One 12-pack; with section 7 this gives two full sets.</t>
  </si>
  <si>
    <t xml:space="preserve">New. The driver runs on batteries like the rest of the microscope.</t>
  </si>
  <si>
    <t xml:space="preserve">Extra 9 V battery clips</t>
  </si>
  <si>
    <t xml:space="preserve">For the extra batteries.</t>
  </si>
  <si>
    <t xml:space="preserve">Optional extras: choose Yes to include</t>
  </si>
  <si>
    <t xml:space="preserve">Spare piezo tube</t>
  </si>
  <si>
    <t xml:space="preserve">A second tube in the same shipment. Tubes can crack while being mounted, and a replacement takes 2 to 4 weeks to arrive from Australia.</t>
  </si>
  <si>
    <t xml:space="preserve">New. Recommended by our piezo study.</t>
  </si>
  <si>
    <t xml:space="preserve">No</t>
  </si>
  <si>
    <t xml:space="preserve">Metal head plate</t>
  </si>
  <si>
    <t xml:space="preserve">Aluminium plate, cut and drilled by an outside shop, that holds the tube more rigidly than printed plastic. Needs machining, which the rest of v2 avoids; price needs a quote.</t>
  </si>
  <si>
    <t xml:space="preserve">New. Metal keeps its shape better than plastic as the room warms and cools.</t>
  </si>
  <si>
    <t xml:space="preserve">SendCutSend or similar</t>
  </si>
  <si>
    <t xml:space="preserve">aluminium blank, cut and drilled</t>
  </si>
  <si>
    <t xml:space="preserve">Upgrade parts</t>
  </si>
  <si>
    <t xml:space="preserve">Shipping and import fees for the upgrade</t>
  </si>
  <si>
    <t xml:space="preserve">Courier shipping for the tube from Australia (seller's estimate). The other upgrade parts ship with the section 1 to 7 orders.</t>
  </si>
  <si>
    <t xml:space="preserve">35% US tariff on the driver's chips, parts and boards from China.</t>
  </si>
  <si>
    <t xml:space="preserve">About 10% import duty on the tube (and the spare, if chosen), the courier's customs fee (the seller says $30 to $100; $65 used), and DigiKey's 8% import charge on the battery clips.</t>
  </si>
  <si>
    <t xml:space="preserve">Upgrade shipping and import fees</t>
  </si>
  <si>
    <t xml:space="preserve">Upgrade added to the total</t>
  </si>
  <si>
    <t xml:space="preserve">Parts plus shipping and fees, before tax and contingency. Zero when the switch is No.</t>
  </si>
  <si>
    <t xml:space="preserve">9. Tools and supplies UCSD may already have: choose Yes if UCSD will provide an item, and it comes off the total</t>
  </si>
  <si>
    <t xml:space="preserve">From UCSD?</t>
  </si>
  <si>
    <t xml:space="preserve">Scanning tips</t>
  </si>
  <si>
    <t xml:space="preserve">10 ready-made platinum-iridium tips. The tip is the needle that scans the sample; this metal stays sharp in air.</t>
  </si>
  <si>
    <t xml:space="preserve">Changed. v1 made its own tips from tungsten wire, which corrodes in air.</t>
  </si>
  <si>
    <t xml:space="preserve">Bruker</t>
  </si>
  <si>
    <t xml:space="preserve">DPT10</t>
  </si>
  <si>
    <t xml:space="preserve">Graphite test sample</t>
  </si>
  <si>
    <t xml:space="preserve">Extremely flat graphite (called HOPG), the standard test sample for seeing individual atoms. 10 x 10 mm.</t>
  </si>
  <si>
    <t xml:space="preserve">New. v1's gold-leaf sample was too rough to show atoms.</t>
  </si>
  <si>
    <t xml:space="preserve">NanoAndMore</t>
  </si>
  <si>
    <t xml:space="preserve">HOPG ZYH</t>
  </si>
  <si>
    <t xml:space="preserve">Silver glue</t>
  </si>
  <si>
    <t xml:space="preserve">Glue that conducts electricity. Fixes the graphite sample to its disc so current can flow through it.</t>
  </si>
  <si>
    <t xml:space="preserve">New. Goes with the graphite sample.</t>
  </si>
  <si>
    <t xml:space="preserve">MG Chemicals</t>
  </si>
  <si>
    <t xml:space="preserve">8331D-14G</t>
  </si>
  <si>
    <t xml:space="preserve">Heavy stone base</t>
  </si>
  <si>
    <t xml:space="preserve">Granite slab, 9 x 12 in, under the microscope. Its weight damps vibration.</t>
  </si>
  <si>
    <t xml:space="preserve">New. Extra protection against vibration.</t>
  </si>
  <si>
    <t xml:space="preserve">Penn Tool Co</t>
  </si>
  <si>
    <t xml:space="preserve">Grizzly G9649</t>
  </si>
  <si>
    <t xml:space="preserve">Handheld instrument for checking electrical signals while building and testing.</t>
  </si>
  <si>
    <t xml:space="preserve">Same as v1. v1 keeps its own tools.</t>
  </si>
  <si>
    <t xml:space="preserve">FNIRSI DST-201</t>
  </si>
  <si>
    <t xml:space="preserve">Capacitance meter (LCR meter)</t>
  </si>
  <si>
    <t xml:space="preserve">Handheld meter for checking the tube's electrical contacts before and after wiring. Counted only when section 8 is switched on.</t>
  </si>
  <si>
    <t xml:space="preserve">New. Confirms the tube was not damaged during assembly.</t>
  </si>
  <si>
    <t xml:space="preserve">handheld LCR meter, 1 kHz</t>
  </si>
  <si>
    <t xml:space="preserve">Laser calibration parts</t>
  </si>
  <si>
    <t xml:space="preserve">Small laser, beam splitter, two mirrors and a light sensor. Together they measure exactly how far the scanner moves, which sets the scale of the images.</t>
  </si>
  <si>
    <t xml:space="preserve">New. Calibrates the scanner.</t>
  </si>
  <si>
    <t xml:space="preserve">laser diode, beamsplitter cube, 2 mirrors, photodiode, mounts</t>
  </si>
  <si>
    <t xml:space="preserve">Soldering iron</t>
  </si>
  <si>
    <t xml:space="preserve">For soldering parts onto the circuit boards.</t>
  </si>
  <si>
    <t xml:space="preserve">PINE64</t>
  </si>
  <si>
    <t xml:space="preserve">Pinecil V2</t>
  </si>
  <si>
    <t xml:space="preserve">Solder and flux</t>
  </si>
  <si>
    <t xml:space="preserve">For the hand-soldered parts.</t>
  </si>
  <si>
    <t xml:space="preserve">as bought for v1</t>
  </si>
  <si>
    <t xml:space="preserve">Heat-shrink tubing</t>
  </si>
  <si>
    <t xml:space="preserve">Plastic sleeves that shrink with heat to insulate wire joints.</t>
  </si>
  <si>
    <t xml:space="preserve">Wire</t>
  </si>
  <si>
    <t xml:space="preserve">Hook-up wire, very thin wire for the scanner, and shielded wire for the tip.</t>
  </si>
  <si>
    <t xml:space="preserve">Cables</t>
  </si>
  <si>
    <t xml:space="preserve">Ribbon cable to the microcontroller, two cables to the microscope, and a USB cable.</t>
  </si>
  <si>
    <t xml:space="preserve">Connectors</t>
  </si>
  <si>
    <t xml:space="preserve">Pin headers and chip sockets for the circuit boards.</t>
  </si>
  <si>
    <t xml:space="preserve">Screws</t>
  </si>
  <si>
    <t xml:space="preserve">Small screws for the 3D-printed parts.</t>
  </si>
  <si>
    <t xml:space="preserve">Tweezers, wrist strap and wipes</t>
  </si>
  <si>
    <t xml:space="preserve">Tweezers for small parts, an anti-static wrist strap that protects the chips, and lint-free wipes.</t>
  </si>
  <si>
    <t xml:space="preserve">Subtotal (items not marked Yes)</t>
  </si>
  <si>
    <t xml:space="preserve">Total request, with the choices made in this sheet</t>
  </si>
  <si>
    <t xml:space="preserve">Parts</t>
  </si>
  <si>
    <t xml:space="preserve">Sections 1 to 7, section 8 if switched on, and section 9 items not marked Yes</t>
  </si>
  <si>
    <t xml:space="preserve">Sales tax (7.75%)</t>
  </si>
  <si>
    <t xml:space="preserve">On parts</t>
  </si>
  <si>
    <t xml:space="preserve">Contingency (10%)</t>
  </si>
  <si>
    <t xml:space="preserve">Covers price changes and unexpected costs</t>
  </si>
  <si>
    <t xml:space="preserve">TOTAL REQUEST</t>
  </si>
  <si>
    <t xml:space="preserve">Room left under the $2,000 target</t>
  </si>
  <si>
    <t xml:space="preserve">Negative means over the target</t>
  </si>
  <si>
    <t xml:space="preserve">The four cases side by side</t>
  </si>
  <si>
    <t xml:space="preserve">Case</t>
  </si>
  <si>
    <t xml:space="preserve">Shipping and fees</t>
  </si>
  <si>
    <t xml:space="preserve">Sales tax</t>
  </si>
  <si>
    <t xml:space="preserve">Contingency</t>
  </si>
  <si>
    <t xml:space="preserve">Without the upgrade, UCSD supplies nothing</t>
  </si>
  <si>
    <t xml:space="preserve">Without the upgrade, UCSD supplies everything</t>
  </si>
  <si>
    <t xml:space="preserve">With the upgrade, UCSD supplies nothing</t>
  </si>
  <si>
    <t xml:space="preserve">With the upgrade, UCSD supplies everything</t>
  </si>
  <si>
    <t xml:space="preserve">The upgrade cases include the optional extras as currently chosen in section 8 (spare tube and metal plate are No unless changed).</t>
  </si>
</sst>
</file>

<file path=xl/styles.xml><?xml version="1.0" encoding="utf-8"?>
<styleSheet xmlns="http://schemas.openxmlformats.org/spreadsheetml/2006/main">
  <numFmts count="2">
    <numFmt numFmtId="164" formatCode="General"/>
    <numFmt numFmtId="165" formatCode="\$#,##0.00"/>
  </numFmts>
  <fonts count="13">
    <font>
      <sz val="11"/>
      <color theme="1"/>
      <name val="Calibri"/>
      <family val="2"/>
      <charset val="1"/>
    </font>
    <font>
      <sz val="10"/>
      <name val="Arial"/>
      <family val="0"/>
    </font>
    <font>
      <sz val="10"/>
      <name val="Arial"/>
      <family val="0"/>
    </font>
    <font>
      <sz val="10"/>
      <name val="Arial"/>
      <family val="0"/>
    </font>
    <font>
      <b val="true"/>
      <sz val="16"/>
      <color rgb="FF1F3864"/>
      <name val="Cambria"/>
      <family val="0"/>
      <charset val="1"/>
    </font>
    <font>
      <i val="true"/>
      <sz val="11"/>
      <color rgb="FF595959"/>
      <name val="Cambria"/>
      <family val="0"/>
      <charset val="1"/>
    </font>
    <font>
      <b val="true"/>
      <sz val="11"/>
      <color rgb="FFFFFFFF"/>
      <name val="Cambria"/>
      <family val="0"/>
      <charset val="1"/>
    </font>
    <font>
      <b val="true"/>
      <sz val="11"/>
      <name val="Cambria"/>
      <family val="0"/>
      <charset val="1"/>
    </font>
    <font>
      <b val="true"/>
      <sz val="12"/>
      <name val="Cambria"/>
      <family val="0"/>
      <charset val="1"/>
    </font>
    <font>
      <b val="true"/>
      <sz val="13"/>
      <color rgb="FF1F3864"/>
      <name val="Cambria"/>
      <family val="0"/>
      <charset val="1"/>
    </font>
    <font>
      <u val="single"/>
      <sz val="11"/>
      <color rgb="FF0563C1"/>
      <name val="Cambria"/>
      <family val="0"/>
      <charset val="1"/>
    </font>
    <font>
      <i val="true"/>
      <sz val="11"/>
      <color rgb="FF9C5700"/>
      <name val="Cambria"/>
      <family val="0"/>
      <charset val="1"/>
    </font>
    <font>
      <b val="true"/>
      <sz val="12"/>
      <color rgb="FF1F3864"/>
      <name val="Cambria"/>
      <family val="0"/>
      <charset val="1"/>
    </font>
  </fonts>
  <fills count="12">
    <fill>
      <patternFill patternType="none"/>
    </fill>
    <fill>
      <patternFill patternType="gray125"/>
    </fill>
    <fill>
      <patternFill patternType="solid">
        <fgColor rgb="FF1F3864"/>
        <bgColor rgb="FF333333"/>
      </patternFill>
    </fill>
    <fill>
      <patternFill patternType="solid">
        <fgColor rgb="FFD9E2F3"/>
        <bgColor rgb="FFEDE3F5"/>
      </patternFill>
    </fill>
    <fill>
      <patternFill patternType="solid">
        <fgColor rgb="FFF2F2F2"/>
        <bgColor rgb="FFEDE3F5"/>
      </patternFill>
    </fill>
    <fill>
      <patternFill patternType="solid">
        <fgColor rgb="FFFFD966"/>
        <bgColor rgb="FFFFFF99"/>
      </patternFill>
    </fill>
    <fill>
      <patternFill patternType="solid">
        <fgColor rgb="FFFFF2CC"/>
        <bgColor rgb="FFF2F2F2"/>
      </patternFill>
    </fill>
    <fill>
      <patternFill patternType="solid">
        <fgColor rgb="FF7030A0"/>
        <bgColor rgb="FF993366"/>
      </patternFill>
    </fill>
    <fill>
      <patternFill patternType="solid">
        <fgColor rgb="FFEDE3F5"/>
        <bgColor rgb="FFD9E2F3"/>
      </patternFill>
    </fill>
    <fill>
      <patternFill patternType="solid">
        <fgColor rgb="FFFFFFFF"/>
        <bgColor rgb="FFF2F2F2"/>
      </patternFill>
    </fill>
    <fill>
      <patternFill patternType="solid">
        <fgColor rgb="FF548235"/>
        <bgColor rgb="FF339966"/>
      </patternFill>
    </fill>
    <fill>
      <patternFill patternType="solid">
        <fgColor rgb="FFE2EFDA"/>
        <bgColor rgb="FFF2F2F2"/>
      </patternFill>
    </fill>
  </fills>
  <borders count="4">
    <border diagonalUp="false" diagonalDown="false">
      <left/>
      <right/>
      <top/>
      <bottom/>
      <diagonal/>
    </border>
    <border diagonalUp="false" diagonalDown="false">
      <left/>
      <right/>
      <top style="thin">
        <color rgb="FF808080"/>
      </top>
      <bottom/>
      <diagonal/>
    </border>
    <border diagonalUp="false" diagonalDown="false">
      <left style="medium"/>
      <right style="medium"/>
      <top style="medium"/>
      <bottom style="mediu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6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false" applyProtection="false">
      <alignment horizontal="general" vertical="bottom" textRotation="0" wrapText="false" indent="0" shrinkToFit="false"/>
      <protection locked="true" hidden="false"/>
    </xf>
    <xf numFmtId="164" fontId="7" fillId="3"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4" fontId="7" fillId="4" borderId="1" xfId="0" applyFont="true" applyBorder="true" applyAlignment="false" applyProtection="false">
      <alignment horizontal="general" vertical="bottom" textRotation="0" wrapText="false" indent="0" shrinkToFit="false"/>
      <protection locked="true" hidden="false"/>
    </xf>
    <xf numFmtId="164" fontId="0" fillId="4" borderId="1" xfId="0" applyFont="false" applyBorder="true" applyAlignment="false" applyProtection="false">
      <alignment horizontal="general" vertical="bottom" textRotation="0" wrapText="false" indent="0" shrinkToFit="false"/>
      <protection locked="true" hidden="false"/>
    </xf>
    <xf numFmtId="165" fontId="7" fillId="4" borderId="1" xfId="0" applyFont="true" applyBorder="true" applyAlignment="false" applyProtection="fals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8" fillId="5"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Border="false" applyAlignment="false" applyProtection="false">
      <alignment horizontal="general" vertical="bottom" textRotation="0" wrapText="false" indent="0" shrinkToFit="false"/>
      <protection locked="true" hidden="false"/>
    </xf>
    <xf numFmtId="165" fontId="8" fillId="5"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center" textRotation="0" wrapText="true" indent="0" shrinkToFit="false"/>
      <protection locked="true" hidden="false"/>
    </xf>
    <xf numFmtId="164" fontId="6" fillId="2" borderId="0" xfId="0" applyFont="true" applyBorder="true" applyAlignment="true" applyProtection="false">
      <alignment horizontal="general" vertical="center" textRotation="0" wrapText="true" indent="0" shrinkToFit="false"/>
      <protection locked="true" hidden="false"/>
    </xf>
    <xf numFmtId="164" fontId="7" fillId="6" borderId="0" xfId="0" applyFont="true" applyBorder="true" applyAlignment="false" applyProtection="false">
      <alignment horizontal="general" vertical="bottom" textRotation="0" wrapText="false" indent="0" shrinkToFit="false"/>
      <protection locked="true" hidden="false"/>
    </xf>
    <xf numFmtId="165" fontId="7" fillId="6" borderId="0" xfId="0" applyFont="true" applyBorder="false" applyAlignment="true" applyProtection="false">
      <alignment horizontal="left" vertical="bottom" textRotation="0" wrapText="false" indent="0" shrinkToFit="false"/>
      <protection locked="true" hidden="false"/>
    </xf>
    <xf numFmtId="165" fontId="7" fillId="6" borderId="0" xfId="0" applyFont="true" applyBorder="true" applyAlignment="true" applyProtection="false">
      <alignment horizontal="left" vertical="bottom" textRotation="0" wrapText="false" indent="0" shrinkToFit="false"/>
      <protection locked="true" hidden="false"/>
    </xf>
    <xf numFmtId="164" fontId="8" fillId="5" borderId="0" xfId="0" applyFont="true" applyBorder="true" applyAlignment="false" applyProtection="false">
      <alignment horizontal="general" vertical="bottom" textRotation="0" wrapText="false" indent="0" shrinkToFit="false"/>
      <protection locked="true" hidden="false"/>
    </xf>
    <xf numFmtId="165" fontId="8" fillId="5" borderId="0" xfId="0" applyFont="true" applyBorder="false" applyAlignment="true" applyProtection="false">
      <alignment horizontal="left" vertical="bottom" textRotation="0" wrapText="false" indent="0" shrinkToFit="false"/>
      <protection locked="true" hidden="false"/>
    </xf>
    <xf numFmtId="164" fontId="0" fillId="5" borderId="0" xfId="0" applyFont="false" applyBorder="true" applyAlignment="false" applyProtection="false">
      <alignment horizontal="general" vertical="bottom" textRotation="0" wrapText="false" indent="0" shrinkToFit="false"/>
      <protection locked="true" hidden="false"/>
    </xf>
    <xf numFmtId="164" fontId="0" fillId="6" borderId="0" xfId="0" applyFont="false" applyBorder="tru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false" indent="0" shrinkToFit="false"/>
      <protection locked="true" hidden="false"/>
    </xf>
    <xf numFmtId="164" fontId="0" fillId="0" borderId="0" xfId="0" applyFont="true" applyBorder="true" applyAlignment="true" applyProtection="false">
      <alignment horizontal="general" vertical="top" textRotation="0" wrapText="tru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4" fontId="0" fillId="0" borderId="0" xfId="0" applyFont="true" applyBorder="false" applyAlignment="true" applyProtection="false">
      <alignment horizontal="general" vertical="top" textRotation="0" wrapText="false" indent="0" shrinkToFit="false"/>
      <protection locked="true" hidden="false"/>
    </xf>
    <xf numFmtId="165" fontId="0" fillId="0" borderId="0" xfId="0" applyFont="false" applyBorder="false" applyAlignment="true" applyProtection="false">
      <alignment horizontal="general" vertical="top" textRotation="0" wrapText="false" indent="0" shrinkToFit="false"/>
      <protection locked="true" hidden="false"/>
    </xf>
    <xf numFmtId="164" fontId="10" fillId="0" borderId="0" xfId="0" applyFont="true" applyBorder="false" applyAlignment="true" applyProtection="false">
      <alignment horizontal="general" vertical="top" textRotation="0" wrapText="false" indent="0" shrinkToFit="false"/>
      <protection locked="true" hidden="false"/>
    </xf>
    <xf numFmtId="164" fontId="11" fillId="0" borderId="0" xfId="0" applyFont="true" applyBorder="false" applyAlignment="true" applyProtection="false">
      <alignment horizontal="general" vertical="top" textRotation="0" wrapText="false" indent="0" shrinkToFit="false"/>
      <protection locked="true" hidden="false"/>
    </xf>
    <xf numFmtId="164" fontId="7" fillId="6" borderId="1" xfId="0" applyFont="true" applyBorder="true" applyAlignment="false" applyProtection="false">
      <alignment horizontal="general" vertical="bottom" textRotation="0" wrapText="false" indent="0" shrinkToFit="false"/>
      <protection locked="true" hidden="false"/>
    </xf>
    <xf numFmtId="164" fontId="0" fillId="6" borderId="1" xfId="0" applyFont="false" applyBorder="true" applyAlignment="false" applyProtection="false">
      <alignment horizontal="general" vertical="bottom" textRotation="0" wrapText="false" indent="0" shrinkToFit="false"/>
      <protection locked="true" hidden="false"/>
    </xf>
    <xf numFmtId="165" fontId="7" fillId="6" borderId="1"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6" fillId="7" borderId="0" xfId="0" applyFont="true" applyBorder="false" applyAlignment="false" applyProtection="false">
      <alignment horizontal="general" vertical="bottom" textRotation="0" wrapText="false" indent="0" shrinkToFit="false"/>
      <protection locked="true" hidden="false"/>
    </xf>
    <xf numFmtId="164" fontId="0" fillId="7" borderId="0" xfId="0" applyFont="false" applyBorder="false" applyAlignment="false" applyProtection="false">
      <alignment horizontal="general" vertical="bottom" textRotation="0" wrapText="false" indent="0" shrinkToFit="false"/>
      <protection locked="true" hidden="false"/>
    </xf>
    <xf numFmtId="164" fontId="8" fillId="8" borderId="0" xfId="0" applyFont="true" applyBorder="false" applyAlignment="false" applyProtection="false">
      <alignment horizontal="general" vertical="bottom" textRotation="0" wrapText="false" indent="0" shrinkToFit="false"/>
      <protection locked="true" hidden="false"/>
    </xf>
    <xf numFmtId="164" fontId="0" fillId="8" borderId="0" xfId="0" applyFont="false" applyBorder="false" applyAlignment="false" applyProtection="false">
      <alignment horizontal="general" vertical="bottom" textRotation="0" wrapText="false" indent="0" shrinkToFit="false"/>
      <protection locked="true" hidden="false"/>
    </xf>
    <xf numFmtId="164" fontId="7" fillId="8" borderId="0" xfId="0" applyFont="true" applyBorder="false" applyAlignment="true" applyProtection="false">
      <alignment horizontal="right" vertical="bottom" textRotation="0" wrapText="false" indent="0" shrinkToFit="false"/>
      <protection locked="true" hidden="false"/>
    </xf>
    <xf numFmtId="164" fontId="8" fillId="9" borderId="2" xfId="0" applyFont="true" applyBorder="true" applyAlignment="true" applyProtection="false">
      <alignment horizontal="center" vertical="bottom" textRotation="0" wrapText="false" indent="0" shrinkToFit="false"/>
      <protection locked="true" hidden="false"/>
    </xf>
    <xf numFmtId="164" fontId="6" fillId="7" borderId="0" xfId="0" applyFont="true" applyBorder="false" applyAlignment="true" applyProtection="false">
      <alignment horizontal="general" vertical="center" textRotation="0" wrapText="true" indent="0" shrinkToFit="false"/>
      <protection locked="true" hidden="false"/>
    </xf>
    <xf numFmtId="164" fontId="7" fillId="8"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true" applyProtection="false">
      <alignment horizontal="center" vertical="top" textRotation="0" wrapText="false" indent="0" shrinkToFit="false"/>
      <protection locked="true" hidden="false"/>
    </xf>
    <xf numFmtId="164" fontId="7" fillId="8" borderId="1" xfId="0" applyFont="true" applyBorder="true" applyAlignment="false" applyProtection="false">
      <alignment horizontal="general" vertical="bottom" textRotation="0" wrapText="false" indent="0" shrinkToFit="false"/>
      <protection locked="true" hidden="false"/>
    </xf>
    <xf numFmtId="164" fontId="0" fillId="8" borderId="1" xfId="0" applyFont="true" applyBorder="true" applyAlignment="true" applyProtection="false">
      <alignment horizontal="general" vertical="top" textRotation="0" wrapText="true" indent="0" shrinkToFit="false"/>
      <protection locked="true" hidden="false"/>
    </xf>
    <xf numFmtId="164" fontId="0" fillId="8" borderId="1" xfId="0" applyFont="false" applyBorder="true" applyAlignment="false" applyProtection="false">
      <alignment horizontal="general" vertical="bottom" textRotation="0" wrapText="false" indent="0" shrinkToFit="false"/>
      <protection locked="true" hidden="false"/>
    </xf>
    <xf numFmtId="165" fontId="7" fillId="8" borderId="1" xfId="0" applyFont="true" applyBorder="true" applyAlignment="false" applyProtection="false">
      <alignment horizontal="general" vertical="bottom" textRotation="0" wrapText="false" indent="0" shrinkToFit="false"/>
      <protection locked="true" hidden="false"/>
    </xf>
    <xf numFmtId="164" fontId="6" fillId="10" borderId="0" xfId="0" applyFont="true" applyBorder="false" applyAlignment="false" applyProtection="false">
      <alignment horizontal="general" vertical="bottom" textRotation="0" wrapText="false" indent="0" shrinkToFit="false"/>
      <protection locked="true" hidden="false"/>
    </xf>
    <xf numFmtId="164" fontId="0" fillId="10" borderId="0" xfId="0" applyFont="false" applyBorder="false" applyAlignment="false" applyProtection="false">
      <alignment horizontal="general" vertical="bottom" textRotation="0" wrapText="false" indent="0" shrinkToFit="false"/>
      <protection locked="true" hidden="false"/>
    </xf>
    <xf numFmtId="164" fontId="6" fillId="10" borderId="0" xfId="0" applyFont="true" applyBorder="false" applyAlignment="true" applyProtection="false">
      <alignment horizontal="general" vertical="center" textRotation="0" wrapText="true" indent="0" shrinkToFit="false"/>
      <protection locked="true" hidden="false"/>
    </xf>
    <xf numFmtId="164" fontId="0" fillId="11" borderId="3" xfId="0" applyFont="false" applyBorder="true" applyAlignment="true" applyProtection="false">
      <alignment horizontal="center" vertical="top" textRotation="0" wrapText="false" indent="0" shrinkToFit="false"/>
      <protection locked="true" hidden="false"/>
    </xf>
    <xf numFmtId="164" fontId="7" fillId="11" borderId="1" xfId="0" applyFont="true" applyBorder="true" applyAlignment="false" applyProtection="false">
      <alignment horizontal="general" vertical="bottom" textRotation="0" wrapText="false" indent="0" shrinkToFit="false"/>
      <protection locked="true" hidden="false"/>
    </xf>
    <xf numFmtId="164" fontId="0" fillId="11" borderId="1" xfId="0" applyFont="false" applyBorder="true" applyAlignment="false" applyProtection="false">
      <alignment horizontal="general" vertical="bottom" textRotation="0" wrapText="false" indent="0" shrinkToFit="false"/>
      <protection locked="true" hidden="false"/>
    </xf>
    <xf numFmtId="165" fontId="7" fillId="11" borderId="1" xfId="0" applyFont="true" applyBorder="true" applyAlignment="false" applyProtection="false">
      <alignment horizontal="general" vertical="bottom" textRotation="0" wrapText="false" indent="0" shrinkToFit="false"/>
      <protection locked="true" hidden="false"/>
    </xf>
    <xf numFmtId="164" fontId="7" fillId="6" borderId="0" xfId="0" applyFont="true" applyBorder="false" applyAlignment="false" applyProtection="false">
      <alignment horizontal="general" vertical="bottom" textRotation="0" wrapText="false" indent="0" shrinkToFit="false"/>
      <protection locked="true" hidden="false"/>
    </xf>
    <xf numFmtId="164" fontId="0" fillId="6" borderId="0" xfId="0" applyFont="true" applyBorder="false" applyAlignment="true" applyProtection="false">
      <alignment horizontal="general" vertical="top" textRotation="0" wrapText="true" indent="0" shrinkToFit="false"/>
      <protection locked="true" hidden="false"/>
    </xf>
    <xf numFmtId="164" fontId="0" fillId="6" borderId="0" xfId="0" applyFont="false" applyBorder="false" applyAlignment="false" applyProtection="false">
      <alignment horizontal="general" vertical="bottom" textRotation="0" wrapText="false" indent="0" shrinkToFit="false"/>
      <protection locked="true" hidden="false"/>
    </xf>
    <xf numFmtId="165" fontId="7" fillId="6"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Border="false" applyAlignment="true" applyProtection="false">
      <alignment horizontal="general" vertical="top" textRotation="0" wrapText="tru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true" applyAlignment="false" applyProtection="false">
      <alignment horizontal="general" vertical="bottom" textRotation="0" wrapText="false" indent="0" shrinkToFit="false"/>
      <protection locked="true" hidden="false"/>
    </xf>
    <xf numFmtId="164" fontId="0" fillId="0" borderId="0" xfId="0" applyFont="true" applyBorder="true" applyAlignment="false" applyProtection="false">
      <alignment horizontal="general" vertical="bottom" textRotation="0" wrapText="false" indent="0" shrinkToFit="false"/>
      <protection locked="true" hidden="false"/>
    </xf>
    <xf numFmtId="165" fontId="0" fillId="0" borderId="0" xfId="0" applyFont="false" applyBorder="true" applyAlignment="false" applyProtection="false">
      <alignment horizontal="general" vertical="bottom" textRotation="0" wrapText="false" indent="0"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548235"/>
      <rgbColor rgb="FF800080"/>
      <rgbColor rgb="FF008080"/>
      <rgbColor rgb="FFBFBFBF"/>
      <rgbColor rgb="FF808080"/>
      <rgbColor rgb="FF9999FF"/>
      <rgbColor rgb="FF7030A0"/>
      <rgbColor rgb="FFFFF2CC"/>
      <rgbColor rgb="FFF2F2F2"/>
      <rgbColor rgb="FF660066"/>
      <rgbColor rgb="FFFF8080"/>
      <rgbColor rgb="FF0563C1"/>
      <rgbColor rgb="FFD9E2F3"/>
      <rgbColor rgb="FF000080"/>
      <rgbColor rgb="FFFF00FF"/>
      <rgbColor rgb="FFFFFF00"/>
      <rgbColor rgb="FF00FFFF"/>
      <rgbColor rgb="FF800080"/>
      <rgbColor rgb="FF800000"/>
      <rgbColor rgb="FF008080"/>
      <rgbColor rgb="FF0000FF"/>
      <rgbColor rgb="FF00CCFF"/>
      <rgbColor rgb="FFEDE3F5"/>
      <rgbColor rgb="FFE2EFDA"/>
      <rgbColor rgb="FFFFFF99"/>
      <rgbColor rgb="FF99CCFF"/>
      <rgbColor rgb="FFFF99CC"/>
      <rgbColor rgb="FFCC99FF"/>
      <rgbColor rgb="FFFFD966"/>
      <rgbColor rgb="FF3366FF"/>
      <rgbColor rgb="FF33CCCC"/>
      <rgbColor rgb="FF99CC00"/>
      <rgbColor rgb="FFFFCC00"/>
      <rgbColor rgb="FFFF9900"/>
      <rgbColor rgb="FFFF6600"/>
      <rgbColor rgb="FF595959"/>
      <rgbColor rgb="FF969696"/>
      <rgbColor rgb="FF1F3864"/>
      <rgbColor rgb="FF339966"/>
      <rgbColor rgb="FF003300"/>
      <rgbColor rgb="FF333300"/>
      <rgbColor rgb="FF9C57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5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7"/>
    <col collapsed="false" customWidth="true" hidden="false" outlineLevel="0" max="3" min="3" style="0" width="13"/>
    <col collapsed="false" customWidth="true" hidden="false" outlineLevel="0" max="4" min="4" style="0" width="14"/>
  </cols>
  <sheetData>
    <row r="1" customFormat="false" ht="19.7"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3" t="s">
        <v>3</v>
      </c>
      <c r="C4" s="3" t="s">
        <v>4</v>
      </c>
      <c r="D4" s="3" t="s">
        <v>5</v>
      </c>
    </row>
    <row r="5" customFormat="false" ht="15" hidden="false" customHeight="false" outlineLevel="0" collapsed="false">
      <c r="A5" s="4" t="s">
        <v>6</v>
      </c>
      <c r="B5" s="5"/>
      <c r="C5" s="5"/>
      <c r="D5" s="5"/>
    </row>
    <row r="6" customFormat="false" ht="15" hidden="false" customHeight="false" outlineLevel="0" collapsed="false">
      <c r="A6" s="0" t="s">
        <v>7</v>
      </c>
      <c r="B6" s="0" t="n">
        <v>2</v>
      </c>
      <c r="C6" s="6" t="n">
        <v>419.27</v>
      </c>
    </row>
    <row r="7" customFormat="false" ht="15" hidden="false" customHeight="false" outlineLevel="0" collapsed="false">
      <c r="A7" s="0" t="s">
        <v>8</v>
      </c>
      <c r="B7" s="0" t="n">
        <v>2</v>
      </c>
      <c r="C7" s="6" t="n">
        <v>60.34</v>
      </c>
    </row>
    <row r="8" customFormat="false" ht="15" hidden="false" customHeight="false" outlineLevel="0" collapsed="false">
      <c r="A8" s="0" t="s">
        <v>9</v>
      </c>
      <c r="B8" s="0" t="n">
        <v>3</v>
      </c>
      <c r="C8" s="6" t="n">
        <v>5.04</v>
      </c>
    </row>
    <row r="9" customFormat="false" ht="15" hidden="false" customHeight="false" outlineLevel="0" collapsed="false">
      <c r="A9" s="0" t="s">
        <v>10</v>
      </c>
      <c r="B9" s="0" t="n">
        <v>3</v>
      </c>
      <c r="C9" s="6" t="n">
        <v>2.4</v>
      </c>
    </row>
    <row r="10" customFormat="false" ht="15" hidden="false" customHeight="false" outlineLevel="0" collapsed="false">
      <c r="A10" s="0" t="s">
        <v>11</v>
      </c>
      <c r="C10" s="6" t="n">
        <v>-20</v>
      </c>
    </row>
    <row r="11" customFormat="false" ht="15" hidden="false" customHeight="false" outlineLevel="0" collapsed="false">
      <c r="A11" s="0" t="s">
        <v>12</v>
      </c>
      <c r="C11" s="6" t="n">
        <v>50.3</v>
      </c>
    </row>
    <row r="12" customFormat="false" ht="15" hidden="false" customHeight="false" outlineLevel="0" collapsed="false">
      <c r="A12" s="0" t="s">
        <v>13</v>
      </c>
      <c r="C12" s="6" t="n">
        <v>163.48</v>
      </c>
    </row>
    <row r="13" customFormat="false" ht="15" hidden="false" customHeight="false" outlineLevel="0" collapsed="false">
      <c r="A13" s="0" t="s">
        <v>14</v>
      </c>
      <c r="C13" s="6" t="n">
        <v>29.2</v>
      </c>
    </row>
    <row r="14" customFormat="false" ht="15" hidden="false" customHeight="false" outlineLevel="0" collapsed="false">
      <c r="A14" s="7" t="s">
        <v>15</v>
      </c>
      <c r="B14" s="8"/>
      <c r="C14" s="9" t="n">
        <f aca="false">SUM(C6:C13)</f>
        <v>710.03</v>
      </c>
      <c r="D14" s="8"/>
    </row>
    <row r="16" customFormat="false" ht="15" hidden="false" customHeight="false" outlineLevel="0" collapsed="false">
      <c r="A16" s="4" t="s">
        <v>16</v>
      </c>
      <c r="B16" s="5"/>
      <c r="C16" s="5"/>
      <c r="D16" s="5"/>
    </row>
    <row r="17" customFormat="false" ht="15" hidden="false" customHeight="false" outlineLevel="0" collapsed="false">
      <c r="A17" s="0" t="s">
        <v>17</v>
      </c>
      <c r="B17" s="0" t="n">
        <v>3</v>
      </c>
      <c r="C17" s="6" t="n">
        <v>26.34</v>
      </c>
    </row>
    <row r="18" customFormat="false" ht="15" hidden="false" customHeight="false" outlineLevel="0" collapsed="false">
      <c r="A18" s="0" t="s">
        <v>12</v>
      </c>
      <c r="C18" s="6" t="n">
        <v>15.26</v>
      </c>
    </row>
    <row r="19" customFormat="false" ht="15" hidden="false" customHeight="false" outlineLevel="0" collapsed="false">
      <c r="A19" s="0" t="s">
        <v>14</v>
      </c>
      <c r="C19" s="6" t="n">
        <v>1.65</v>
      </c>
    </row>
    <row r="20" customFormat="false" ht="15" hidden="false" customHeight="false" outlineLevel="0" collapsed="false">
      <c r="A20" s="7" t="s">
        <v>15</v>
      </c>
      <c r="B20" s="8"/>
      <c r="C20" s="9" t="n">
        <f aca="false">SUM(C17:C19)</f>
        <v>43.25</v>
      </c>
      <c r="D20" s="8"/>
    </row>
    <row r="22" customFormat="false" ht="15" hidden="false" customHeight="false" outlineLevel="0" collapsed="false">
      <c r="A22" s="4" t="s">
        <v>18</v>
      </c>
      <c r="B22" s="5"/>
      <c r="C22" s="5"/>
      <c r="D22" s="5"/>
    </row>
    <row r="23" customFormat="false" ht="15" hidden="false" customHeight="false" outlineLevel="0" collapsed="false">
      <c r="A23" s="0" t="s">
        <v>19</v>
      </c>
      <c r="B23" s="0" t="n">
        <v>2</v>
      </c>
      <c r="C23" s="6" t="n">
        <v>32.7</v>
      </c>
    </row>
    <row r="24" customFormat="false" ht="15" hidden="false" customHeight="false" outlineLevel="0" collapsed="false">
      <c r="A24" s="0" t="s">
        <v>20</v>
      </c>
      <c r="B24" s="0" t="n">
        <v>4</v>
      </c>
      <c r="C24" s="6" t="n">
        <v>3.04</v>
      </c>
    </row>
    <row r="25" customFormat="false" ht="15" hidden="false" customHeight="false" outlineLevel="0" collapsed="false">
      <c r="A25" s="0" t="s">
        <v>21</v>
      </c>
      <c r="B25" s="0" t="n">
        <v>2</v>
      </c>
      <c r="C25" s="6" t="n">
        <v>5.62</v>
      </c>
    </row>
    <row r="26" customFormat="false" ht="15" hidden="false" customHeight="false" outlineLevel="0" collapsed="false">
      <c r="A26" s="0" t="s">
        <v>22</v>
      </c>
      <c r="B26" s="0" t="n">
        <v>2</v>
      </c>
      <c r="C26" s="6" t="n">
        <v>4.18</v>
      </c>
    </row>
    <row r="27" customFormat="false" ht="15" hidden="false" customHeight="false" outlineLevel="0" collapsed="false">
      <c r="A27" s="0" t="s">
        <v>12</v>
      </c>
      <c r="C27" s="6" t="n">
        <v>25.47</v>
      </c>
    </row>
    <row r="28" customFormat="false" ht="15" hidden="false" customHeight="false" outlineLevel="0" collapsed="false">
      <c r="A28" s="0" t="s">
        <v>13</v>
      </c>
      <c r="C28" s="6" t="n">
        <v>4.67</v>
      </c>
    </row>
    <row r="29" customFormat="false" ht="15" hidden="false" customHeight="false" outlineLevel="0" collapsed="false">
      <c r="A29" s="0" t="s">
        <v>14</v>
      </c>
      <c r="C29" s="6" t="n">
        <v>3.14</v>
      </c>
    </row>
    <row r="30" customFormat="false" ht="15" hidden="false" customHeight="false" outlineLevel="0" collapsed="false">
      <c r="A30" s="7" t="s">
        <v>15</v>
      </c>
      <c r="B30" s="8"/>
      <c r="C30" s="9" t="n">
        <f aca="false">SUM(C23:C29)</f>
        <v>78.82</v>
      </c>
      <c r="D30" s="8"/>
    </row>
    <row r="32" customFormat="false" ht="15" hidden="false" customHeight="false" outlineLevel="0" collapsed="false">
      <c r="A32" s="4" t="s">
        <v>23</v>
      </c>
      <c r="B32" s="5"/>
      <c r="C32" s="5"/>
      <c r="D32" s="5"/>
    </row>
    <row r="33" customFormat="false" ht="15" hidden="false" customHeight="false" outlineLevel="0" collapsed="false">
      <c r="A33" s="0" t="s">
        <v>24</v>
      </c>
      <c r="C33" s="6" t="n">
        <v>45.09</v>
      </c>
      <c r="D33" s="10" t="s">
        <v>25</v>
      </c>
    </row>
    <row r="34" customFormat="false" ht="15" hidden="false" customHeight="false" outlineLevel="0" collapsed="false">
      <c r="A34" s="0" t="s">
        <v>26</v>
      </c>
      <c r="C34" s="6" t="n">
        <v>57.38</v>
      </c>
      <c r="D34" s="10" t="s">
        <v>27</v>
      </c>
    </row>
    <row r="35" customFormat="false" ht="15" hidden="false" customHeight="false" outlineLevel="0" collapsed="false">
      <c r="A35" s="0" t="s">
        <v>28</v>
      </c>
      <c r="C35" s="6" t="n">
        <v>33.97</v>
      </c>
      <c r="D35" s="10" t="s">
        <v>29</v>
      </c>
    </row>
    <row r="36" customFormat="false" ht="15" hidden="false" customHeight="false" outlineLevel="0" collapsed="false">
      <c r="A36" s="0" t="s">
        <v>30</v>
      </c>
      <c r="C36" s="6" t="n">
        <v>36.96</v>
      </c>
      <c r="D36" s="10" t="s">
        <v>25</v>
      </c>
    </row>
    <row r="37" customFormat="false" ht="15" hidden="false" customHeight="false" outlineLevel="0" collapsed="false">
      <c r="A37" s="0" t="s">
        <v>31</v>
      </c>
      <c r="C37" s="6" t="n">
        <v>14.98</v>
      </c>
      <c r="D37" s="10" t="s">
        <v>32</v>
      </c>
    </row>
    <row r="38" customFormat="false" ht="15" hidden="false" customHeight="false" outlineLevel="0" collapsed="false">
      <c r="A38" s="0" t="s">
        <v>33</v>
      </c>
      <c r="C38" s="6" t="n">
        <v>18.48</v>
      </c>
      <c r="D38" s="10" t="s">
        <v>32</v>
      </c>
    </row>
    <row r="39" customFormat="false" ht="15" hidden="false" customHeight="false" outlineLevel="0" collapsed="false">
      <c r="A39" s="0" t="s">
        <v>34</v>
      </c>
      <c r="C39" s="6" t="n">
        <v>34.97</v>
      </c>
      <c r="D39" s="10" t="s">
        <v>32</v>
      </c>
    </row>
    <row r="40" customFormat="false" ht="15" hidden="false" customHeight="false" outlineLevel="0" collapsed="false">
      <c r="A40" s="0" t="s">
        <v>35</v>
      </c>
      <c r="C40" s="6" t="n">
        <v>19.98</v>
      </c>
      <c r="D40" s="10" t="s">
        <v>32</v>
      </c>
    </row>
    <row r="41" customFormat="false" ht="15" hidden="false" customHeight="false" outlineLevel="0" collapsed="false">
      <c r="A41" s="0" t="s">
        <v>36</v>
      </c>
      <c r="C41" s="6" t="n">
        <v>27.99</v>
      </c>
    </row>
    <row r="42" customFormat="false" ht="15" hidden="false" customHeight="false" outlineLevel="0" collapsed="false">
      <c r="A42" s="0" t="s">
        <v>37</v>
      </c>
      <c r="C42" s="6" t="n">
        <v>43.22</v>
      </c>
    </row>
    <row r="43" customFormat="false" ht="15" hidden="false" customHeight="false" outlineLevel="0" collapsed="false">
      <c r="A43" s="0" t="s">
        <v>38</v>
      </c>
      <c r="C43" s="6" t="n">
        <v>42.74</v>
      </c>
    </row>
    <row r="44" customFormat="false" ht="15" hidden="false" customHeight="false" outlineLevel="0" collapsed="false">
      <c r="A44" s="0" t="s">
        <v>39</v>
      </c>
      <c r="C44" s="6" t="n">
        <v>57.99</v>
      </c>
    </row>
    <row r="45" customFormat="false" ht="15" hidden="false" customHeight="false" outlineLevel="0" collapsed="false">
      <c r="A45" s="0" t="s">
        <v>40</v>
      </c>
      <c r="C45" s="6" t="n">
        <v>7.99</v>
      </c>
    </row>
    <row r="46" customFormat="false" ht="15" hidden="false" customHeight="false" outlineLevel="0" collapsed="false">
      <c r="A46" s="0" t="s">
        <v>41</v>
      </c>
      <c r="C46" s="6" t="n">
        <v>5</v>
      </c>
    </row>
    <row r="47" customFormat="false" ht="15" hidden="false" customHeight="false" outlineLevel="0" collapsed="false">
      <c r="A47" s="0" t="s">
        <v>42</v>
      </c>
      <c r="C47" s="6" t="n">
        <v>8.19</v>
      </c>
    </row>
    <row r="48" customFormat="false" ht="15" hidden="false" customHeight="false" outlineLevel="0" collapsed="false">
      <c r="A48" s="0" t="s">
        <v>43</v>
      </c>
      <c r="C48" s="6" t="n">
        <v>10.09</v>
      </c>
    </row>
    <row r="49" customFormat="false" ht="15" hidden="false" customHeight="false" outlineLevel="0" collapsed="false">
      <c r="A49" s="0" t="s">
        <v>44</v>
      </c>
      <c r="C49" s="6" t="n">
        <v>19.79</v>
      </c>
    </row>
    <row r="50" customFormat="false" ht="15" hidden="false" customHeight="false" outlineLevel="0" collapsed="false">
      <c r="A50" s="0" t="s">
        <v>45</v>
      </c>
      <c r="C50" s="6" t="n">
        <v>18.99</v>
      </c>
    </row>
    <row r="51" customFormat="false" ht="15" hidden="false" customHeight="false" outlineLevel="0" collapsed="false">
      <c r="A51" s="0" t="s">
        <v>46</v>
      </c>
      <c r="C51" s="6" t="n">
        <v>19.16</v>
      </c>
      <c r="D51" s="10" t="s">
        <v>25</v>
      </c>
    </row>
    <row r="52" customFormat="false" ht="15" hidden="false" customHeight="false" outlineLevel="0" collapsed="false">
      <c r="A52" s="0" t="s">
        <v>47</v>
      </c>
      <c r="C52" s="6" t="n">
        <v>20.87</v>
      </c>
      <c r="D52" s="10" t="s">
        <v>29</v>
      </c>
    </row>
    <row r="53" customFormat="false" ht="15" hidden="false" customHeight="false" outlineLevel="0" collapsed="false">
      <c r="A53" s="7" t="s">
        <v>15</v>
      </c>
      <c r="B53" s="8"/>
      <c r="C53" s="9" t="n">
        <f aca="false">SUM(C33:C52)</f>
        <v>543.83</v>
      </c>
      <c r="D53" s="8"/>
    </row>
    <row r="55" customFormat="false" ht="15" hidden="false" customHeight="false" outlineLevel="0" collapsed="false">
      <c r="A55" s="11" t="s">
        <v>48</v>
      </c>
      <c r="B55" s="12"/>
      <c r="C55" s="13" t="n">
        <f aca="false">C14+C20+C30+C53</f>
        <v>1375.93</v>
      </c>
      <c r="D55" s="1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14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50"/>
    <col collapsed="false" customWidth="true" hidden="false" outlineLevel="0" max="3" min="3" style="0" width="38"/>
    <col collapsed="false" customWidth="true" hidden="false" outlineLevel="0" max="4" min="4" style="0" width="14"/>
    <col collapsed="false" customWidth="true" hidden="false" outlineLevel="0" max="5" min="5" style="0" width="18"/>
    <col collapsed="false" customWidth="true" hidden="false" outlineLevel="0" max="6" min="6" style="0" width="6"/>
    <col collapsed="false" customWidth="true" hidden="false" outlineLevel="0" max="7" min="7" style="0" width="11"/>
    <col collapsed="false" customWidth="true" hidden="false" outlineLevel="0" max="8" min="8" style="0" width="12"/>
    <col collapsed="false" customWidth="true" hidden="false" outlineLevel="0" max="9" min="9" style="0" width="13"/>
    <col collapsed="false" customWidth="true" hidden="false" outlineLevel="0" max="10" min="10" style="0" width="7"/>
    <col collapsed="false" customWidth="true" hidden="false" outlineLevel="0" max="11" min="11" style="0" width="11"/>
  </cols>
  <sheetData>
    <row r="1" customFormat="false" ht="19.7" hidden="false" customHeight="false" outlineLevel="0" collapsed="false">
      <c r="A1" s="1" t="s">
        <v>49</v>
      </c>
    </row>
    <row r="2" customFormat="false" ht="15" hidden="false" customHeight="false" outlineLevel="0" collapsed="false">
      <c r="A2" s="2" t="s">
        <v>50</v>
      </c>
    </row>
    <row r="4" customFormat="false" ht="16.15" hidden="false" customHeight="false" outlineLevel="0" collapsed="false">
      <c r="A4" s="14" t="s">
        <v>51</v>
      </c>
    </row>
    <row r="5" customFormat="false" ht="31.5" hidden="false" customHeight="true" outlineLevel="0" collapsed="false">
      <c r="A5" s="3"/>
      <c r="B5" s="15"/>
      <c r="C5" s="16" t="s">
        <v>52</v>
      </c>
      <c r="D5" s="17" t="s">
        <v>53</v>
      </c>
      <c r="E5" s="17"/>
    </row>
    <row r="6" customFormat="false" ht="15" hidden="false" customHeight="false" outlineLevel="0" collapsed="false">
      <c r="A6" s="18" t="s">
        <v>54</v>
      </c>
      <c r="B6" s="18"/>
      <c r="C6" s="19" t="n">
        <f aca="false">H141</f>
        <v>2327.27</v>
      </c>
      <c r="D6" s="20" t="n">
        <f aca="false">H142</f>
        <v>1317.13</v>
      </c>
      <c r="E6" s="20"/>
    </row>
    <row r="7" customFormat="false" ht="15" hidden="false" customHeight="false" outlineLevel="0" collapsed="false">
      <c r="A7" s="18" t="s">
        <v>55</v>
      </c>
      <c r="B7" s="18"/>
      <c r="C7" s="19" t="n">
        <f aca="false">H143</f>
        <v>3000.375</v>
      </c>
      <c r="D7" s="20" t="n">
        <f aca="false">H144</f>
        <v>1942.825</v>
      </c>
      <c r="E7" s="20"/>
    </row>
    <row r="8" customFormat="false" ht="15" hidden="false" customHeight="false" outlineLevel="0" collapsed="false">
      <c r="A8" s="21" t="s">
        <v>56</v>
      </c>
      <c r="B8" s="21"/>
      <c r="C8" s="22" t="n">
        <f aca="false">H136</f>
        <v>3000.375</v>
      </c>
      <c r="D8" s="23"/>
      <c r="E8" s="23"/>
    </row>
    <row r="9" customFormat="false" ht="15" hidden="false" customHeight="false" outlineLevel="0" collapsed="false">
      <c r="A9" s="18" t="s">
        <v>57</v>
      </c>
      <c r="B9" s="18"/>
      <c r="C9" s="19" t="n">
        <f aca="false">'v1 (what it cost)'!C55</f>
        <v>1375.93</v>
      </c>
      <c r="D9" s="24"/>
      <c r="E9" s="24"/>
    </row>
    <row r="11" customFormat="false" ht="16.15" hidden="false" customHeight="false" outlineLevel="0" collapsed="false">
      <c r="A11" s="14" t="s">
        <v>58</v>
      </c>
    </row>
    <row r="12" customFormat="false" ht="30" hidden="false" customHeight="true" outlineLevel="0" collapsed="false">
      <c r="A12" s="25" t="s">
        <v>59</v>
      </c>
      <c r="B12" s="26" t="s">
        <v>60</v>
      </c>
      <c r="C12" s="26"/>
      <c r="D12" s="26"/>
      <c r="E12" s="26"/>
      <c r="F12" s="26"/>
      <c r="G12" s="26"/>
      <c r="H12" s="26"/>
      <c r="I12" s="26"/>
      <c r="J12" s="26"/>
      <c r="K12" s="26"/>
    </row>
    <row r="13" customFormat="false" ht="15.75" hidden="false" customHeight="true" outlineLevel="0" collapsed="false">
      <c r="A13" s="25" t="s">
        <v>61</v>
      </c>
      <c r="B13" s="26" t="s">
        <v>62</v>
      </c>
      <c r="C13" s="26"/>
      <c r="D13" s="26"/>
      <c r="E13" s="26"/>
      <c r="F13" s="26"/>
      <c r="G13" s="26"/>
      <c r="H13" s="26"/>
      <c r="I13" s="26"/>
      <c r="J13" s="26"/>
      <c r="K13" s="26"/>
    </row>
    <row r="14" customFormat="false" ht="15.75" hidden="false" customHeight="true" outlineLevel="0" collapsed="false">
      <c r="A14" s="25" t="s">
        <v>63</v>
      </c>
      <c r="B14" s="26" t="s">
        <v>64</v>
      </c>
      <c r="C14" s="26"/>
      <c r="D14" s="26"/>
      <c r="E14" s="26"/>
      <c r="F14" s="26"/>
      <c r="G14" s="26"/>
      <c r="H14" s="26"/>
      <c r="I14" s="26"/>
      <c r="J14" s="26"/>
      <c r="K14" s="26"/>
    </row>
    <row r="15" customFormat="false" ht="30" hidden="false" customHeight="true" outlineLevel="0" collapsed="false">
      <c r="A15" s="25" t="s">
        <v>65</v>
      </c>
      <c r="B15" s="26" t="s">
        <v>66</v>
      </c>
      <c r="C15" s="26"/>
      <c r="D15" s="26"/>
      <c r="E15" s="26"/>
      <c r="F15" s="26"/>
      <c r="G15" s="26"/>
      <c r="H15" s="26"/>
      <c r="I15" s="26"/>
      <c r="J15" s="26"/>
      <c r="K15" s="26"/>
    </row>
    <row r="16" customFormat="false" ht="15.75" hidden="false" customHeight="true" outlineLevel="0" collapsed="false">
      <c r="A16" s="25" t="s">
        <v>67</v>
      </c>
      <c r="B16" s="26" t="s">
        <v>68</v>
      </c>
      <c r="C16" s="26"/>
      <c r="D16" s="26"/>
      <c r="E16" s="26"/>
      <c r="F16" s="26"/>
      <c r="G16" s="26"/>
      <c r="H16" s="26"/>
      <c r="I16" s="26"/>
      <c r="J16" s="26"/>
      <c r="K16" s="26"/>
    </row>
    <row r="17" customFormat="false" ht="30" hidden="false" customHeight="true" outlineLevel="0" collapsed="false">
      <c r="A17" s="25" t="s">
        <v>69</v>
      </c>
      <c r="B17" s="26" t="s">
        <v>70</v>
      </c>
      <c r="C17" s="26"/>
      <c r="D17" s="26"/>
      <c r="E17" s="26"/>
      <c r="F17" s="26"/>
      <c r="G17" s="26"/>
      <c r="H17" s="26"/>
      <c r="I17" s="26"/>
      <c r="J17" s="26"/>
      <c r="K17" s="26"/>
    </row>
    <row r="18" customFormat="false" ht="15.75" hidden="false" customHeight="true" outlineLevel="0" collapsed="false">
      <c r="A18" s="25" t="s">
        <v>71</v>
      </c>
      <c r="B18" s="26" t="s">
        <v>72</v>
      </c>
      <c r="C18" s="26"/>
      <c r="D18" s="26"/>
      <c r="E18" s="26"/>
      <c r="F18" s="26"/>
      <c r="G18" s="26"/>
      <c r="H18" s="26"/>
      <c r="I18" s="26"/>
      <c r="J18" s="26"/>
      <c r="K18" s="26"/>
    </row>
    <row r="19" customFormat="false" ht="30" hidden="false" customHeight="true" outlineLevel="0" collapsed="false">
      <c r="A19" s="25" t="s">
        <v>73</v>
      </c>
      <c r="B19" s="26" t="s">
        <v>74</v>
      </c>
      <c r="C19" s="26"/>
      <c r="D19" s="26"/>
      <c r="E19" s="26"/>
      <c r="F19" s="26"/>
      <c r="G19" s="26"/>
      <c r="H19" s="26"/>
      <c r="I19" s="26"/>
      <c r="J19" s="26"/>
      <c r="K19" s="26"/>
    </row>
    <row r="21" customFormat="false" ht="19.5" hidden="false" customHeight="true" outlineLevel="0" collapsed="false">
      <c r="A21" s="16" t="s">
        <v>2</v>
      </c>
      <c r="B21" s="16" t="s">
        <v>75</v>
      </c>
      <c r="C21" s="16" t="s">
        <v>67</v>
      </c>
      <c r="D21" s="16" t="s">
        <v>76</v>
      </c>
      <c r="E21" s="16" t="s">
        <v>77</v>
      </c>
      <c r="F21" s="16" t="s">
        <v>3</v>
      </c>
      <c r="G21" s="16" t="s">
        <v>78</v>
      </c>
      <c r="H21" s="16" t="s">
        <v>79</v>
      </c>
      <c r="I21" s="16" t="s">
        <v>69</v>
      </c>
      <c r="J21" s="16" t="s">
        <v>80</v>
      </c>
      <c r="K21" s="16"/>
    </row>
    <row r="22" customFormat="false" ht="19.5" hidden="false" customHeight="true" outlineLevel="0" collapsed="false">
      <c r="A22" s="4" t="s">
        <v>81</v>
      </c>
      <c r="B22" s="5"/>
      <c r="C22" s="5"/>
      <c r="D22" s="5"/>
      <c r="E22" s="5"/>
      <c r="F22" s="5"/>
      <c r="G22" s="5"/>
      <c r="H22" s="5"/>
      <c r="I22" s="5"/>
      <c r="J22" s="5"/>
      <c r="K22" s="5"/>
    </row>
    <row r="23" customFormat="false" ht="55.2" hidden="false" customHeight="false" outlineLevel="0" collapsed="false">
      <c r="A23" s="27" t="s">
        <v>82</v>
      </c>
      <c r="B23" s="27" t="s">
        <v>83</v>
      </c>
      <c r="C23" s="27" t="s">
        <v>84</v>
      </c>
      <c r="D23" s="28" t="s">
        <v>85</v>
      </c>
      <c r="E23" s="27" t="s">
        <v>86</v>
      </c>
      <c r="F23" s="28" t="n">
        <v>1</v>
      </c>
      <c r="G23" s="29" t="n">
        <v>5</v>
      </c>
      <c r="H23" s="29" t="n">
        <f aca="false">F23*G23</f>
        <v>5</v>
      </c>
      <c r="I23" s="28" t="s">
        <v>87</v>
      </c>
      <c r="J23" s="30" t="str">
        <f aca="false">HYPERLINK("https://www.amazon.com/s?k=JESSINIE+18mm+piezo+disc","Open")</f>
        <v>Open</v>
      </c>
    </row>
    <row r="24" customFormat="false" ht="15" hidden="false" customHeight="false" outlineLevel="0" collapsed="false">
      <c r="A24" s="7" t="s">
        <v>15</v>
      </c>
      <c r="B24" s="8"/>
      <c r="C24" s="8"/>
      <c r="D24" s="8"/>
      <c r="E24" s="8"/>
      <c r="F24" s="8"/>
      <c r="G24" s="8"/>
      <c r="H24" s="9" t="n">
        <f aca="false">SUM(H23:H23)</f>
        <v>5</v>
      </c>
      <c r="I24" s="8"/>
      <c r="J24" s="8"/>
      <c r="K24" s="8"/>
    </row>
    <row r="26" customFormat="false" ht="19.5" hidden="false" customHeight="true" outlineLevel="0" collapsed="false">
      <c r="A26" s="4" t="s">
        <v>88</v>
      </c>
      <c r="B26" s="5"/>
      <c r="C26" s="5"/>
      <c r="D26" s="5"/>
      <c r="E26" s="5"/>
      <c r="F26" s="5"/>
      <c r="G26" s="5"/>
      <c r="H26" s="5"/>
      <c r="I26" s="5"/>
      <c r="J26" s="5"/>
      <c r="K26" s="5"/>
    </row>
    <row r="27" customFormat="false" ht="41.75" hidden="false" customHeight="false" outlineLevel="0" collapsed="false">
      <c r="A27" s="27" t="s">
        <v>89</v>
      </c>
      <c r="B27" s="27" t="s">
        <v>90</v>
      </c>
      <c r="C27" s="27" t="s">
        <v>91</v>
      </c>
      <c r="D27" s="28" t="s">
        <v>92</v>
      </c>
      <c r="E27" s="27" t="s">
        <v>93</v>
      </c>
      <c r="F27" s="28" t="n">
        <v>1</v>
      </c>
      <c r="G27" s="29" t="n">
        <v>14</v>
      </c>
      <c r="H27" s="29" t="n">
        <f aca="false">F27*G27</f>
        <v>14</v>
      </c>
      <c r="I27" s="28" t="s">
        <v>94</v>
      </c>
      <c r="J27" s="30" t="str">
        <f aca="false">HYPERLINK("https://www.adafruit.com/product/324","Open")</f>
        <v>Open</v>
      </c>
    </row>
    <row r="28" customFormat="false" ht="28.35" hidden="false" customHeight="false" outlineLevel="0" collapsed="false">
      <c r="A28" s="27" t="s">
        <v>95</v>
      </c>
      <c r="B28" s="27" t="s">
        <v>96</v>
      </c>
      <c r="C28" s="27" t="s">
        <v>97</v>
      </c>
      <c r="D28" s="28" t="s">
        <v>92</v>
      </c>
      <c r="E28" s="27" t="s">
        <v>98</v>
      </c>
      <c r="F28" s="28" t="n">
        <v>1</v>
      </c>
      <c r="G28" s="29" t="n">
        <v>8.95</v>
      </c>
      <c r="H28" s="29" t="n">
        <f aca="false">F28*G28</f>
        <v>8.95</v>
      </c>
      <c r="I28" s="28" t="s">
        <v>94</v>
      </c>
      <c r="J28" s="30" t="str">
        <f aca="false">HYPERLINK("https://adafruit.com/product/6121","Open")</f>
        <v>Open</v>
      </c>
    </row>
    <row r="29" customFormat="false" ht="41.75" hidden="false" customHeight="false" outlineLevel="0" collapsed="false">
      <c r="A29" s="27" t="s">
        <v>99</v>
      </c>
      <c r="B29" s="27" t="s">
        <v>100</v>
      </c>
      <c r="C29" s="27" t="s">
        <v>101</v>
      </c>
      <c r="D29" s="28" t="s">
        <v>102</v>
      </c>
      <c r="E29" s="27" t="s">
        <v>103</v>
      </c>
      <c r="F29" s="28" t="n">
        <v>3</v>
      </c>
      <c r="G29" s="29" t="n">
        <v>8</v>
      </c>
      <c r="H29" s="29" t="n">
        <f aca="false">F29*G29</f>
        <v>24</v>
      </c>
      <c r="I29" s="28" t="s">
        <v>94</v>
      </c>
      <c r="J29" s="30" t="str">
        <f aca="false">HYPERLINK("https://www.thorlabs.com/thorproduct.cfm?partnumber=FAS125","Open")</f>
        <v>Open</v>
      </c>
    </row>
    <row r="30" customFormat="false" ht="28.35" hidden="false" customHeight="false" outlineLevel="0" collapsed="false">
      <c r="A30" s="27" t="s">
        <v>104</v>
      </c>
      <c r="B30" s="27" t="s">
        <v>105</v>
      </c>
      <c r="C30" s="27" t="s">
        <v>106</v>
      </c>
      <c r="D30" s="28" t="s">
        <v>102</v>
      </c>
      <c r="E30" s="27" t="s">
        <v>107</v>
      </c>
      <c r="F30" s="28" t="n">
        <v>3</v>
      </c>
      <c r="G30" s="29" t="n">
        <v>8.6</v>
      </c>
      <c r="H30" s="29" t="n">
        <f aca="false">F30*G30</f>
        <v>25.8</v>
      </c>
      <c r="I30" s="28" t="s">
        <v>94</v>
      </c>
      <c r="J30" s="30" t="str">
        <f aca="false">HYPERLINK("https://www.thorlabs.com/thorproduct.cfm?partnumber=F25SSN1","Open")</f>
        <v>Open</v>
      </c>
    </row>
    <row r="31" customFormat="false" ht="15" hidden="false" customHeight="false" outlineLevel="0" collapsed="false">
      <c r="A31" s="7" t="s">
        <v>15</v>
      </c>
      <c r="B31" s="8"/>
      <c r="C31" s="8"/>
      <c r="D31" s="8"/>
      <c r="E31" s="8"/>
      <c r="F31" s="8"/>
      <c r="G31" s="8"/>
      <c r="H31" s="9" t="n">
        <f aca="false">SUM(H27:H30)</f>
        <v>72.75</v>
      </c>
      <c r="I31" s="8"/>
      <c r="J31" s="8"/>
      <c r="K31" s="8"/>
    </row>
    <row r="33" customFormat="false" ht="19.5" hidden="false" customHeight="true" outlineLevel="0" collapsed="false">
      <c r="A33" s="4" t="s">
        <v>108</v>
      </c>
      <c r="B33" s="5"/>
      <c r="C33" s="5"/>
      <c r="D33" s="5"/>
      <c r="E33" s="5"/>
      <c r="F33" s="5"/>
      <c r="G33" s="5"/>
      <c r="H33" s="5"/>
      <c r="I33" s="5"/>
      <c r="J33" s="5"/>
      <c r="K33" s="5"/>
    </row>
    <row r="34" customFormat="false" ht="41.75" hidden="false" customHeight="false" outlineLevel="0" collapsed="false">
      <c r="A34" s="27" t="s">
        <v>109</v>
      </c>
      <c r="B34" s="27" t="s">
        <v>110</v>
      </c>
      <c r="C34" s="27" t="s">
        <v>111</v>
      </c>
      <c r="D34" s="28" t="s">
        <v>112</v>
      </c>
      <c r="E34" s="27" t="s">
        <v>113</v>
      </c>
      <c r="F34" s="28" t="n">
        <v>2</v>
      </c>
      <c r="G34" s="29" t="n">
        <v>209.64</v>
      </c>
      <c r="H34" s="29" t="n">
        <f aca="false">F34*G34</f>
        <v>419.28</v>
      </c>
      <c r="I34" s="28" t="s">
        <v>87</v>
      </c>
      <c r="J34" s="30" t="str">
        <f aca="false">HYPERLINK("https://jlcpcb.com/","Open")</f>
        <v>Open</v>
      </c>
    </row>
    <row r="35" customFormat="false" ht="41.75" hidden="false" customHeight="false" outlineLevel="0" collapsed="false">
      <c r="A35" s="27" t="s">
        <v>114</v>
      </c>
      <c r="B35" s="27" t="s">
        <v>115</v>
      </c>
      <c r="C35" s="27" t="s">
        <v>84</v>
      </c>
      <c r="D35" s="28" t="s">
        <v>112</v>
      </c>
      <c r="E35" s="27" t="s">
        <v>116</v>
      </c>
      <c r="F35" s="28" t="n">
        <v>3</v>
      </c>
      <c r="G35" s="29" t="n">
        <v>1.68</v>
      </c>
      <c r="H35" s="29" t="n">
        <f aca="false">F35*G35</f>
        <v>5.04</v>
      </c>
      <c r="I35" s="28" t="s">
        <v>87</v>
      </c>
      <c r="J35" s="30" t="str">
        <f aca="false">HYPERLINK("https://jlcpcb.com/","Open")</f>
        <v>Open</v>
      </c>
    </row>
    <row r="36" customFormat="false" ht="28.35" hidden="false" customHeight="false" outlineLevel="0" collapsed="false">
      <c r="A36" s="27" t="s">
        <v>117</v>
      </c>
      <c r="B36" s="27" t="s">
        <v>118</v>
      </c>
      <c r="C36" s="27" t="s">
        <v>84</v>
      </c>
      <c r="D36" s="28" t="s">
        <v>119</v>
      </c>
      <c r="E36" s="27" t="s">
        <v>120</v>
      </c>
      <c r="F36" s="28" t="n">
        <v>2</v>
      </c>
      <c r="G36" s="29" t="n">
        <v>18.26</v>
      </c>
      <c r="H36" s="29" t="n">
        <f aca="false">F36*G36</f>
        <v>36.52</v>
      </c>
      <c r="I36" s="28" t="s">
        <v>94</v>
      </c>
      <c r="J36" s="30" t="str">
        <f aca="false">HYPERLINK("https://www.digikey.com/en/products/detail/analog-devices-inc/LT1469IN8-PBF/962892","Open")</f>
        <v>Open</v>
      </c>
    </row>
    <row r="37" customFormat="false" ht="28.35" hidden="false" customHeight="false" outlineLevel="0" collapsed="false">
      <c r="A37" s="27" t="s">
        <v>121</v>
      </c>
      <c r="B37" s="27" t="s">
        <v>122</v>
      </c>
      <c r="C37" s="27" t="s">
        <v>84</v>
      </c>
      <c r="D37" s="28" t="s">
        <v>123</v>
      </c>
      <c r="E37" s="27" t="s">
        <v>124</v>
      </c>
      <c r="F37" s="28" t="n">
        <v>1</v>
      </c>
      <c r="G37" s="29" t="n">
        <v>31.5</v>
      </c>
      <c r="H37" s="29" t="n">
        <f aca="false">F37*G37</f>
        <v>31.5</v>
      </c>
      <c r="I37" s="28" t="s">
        <v>94</v>
      </c>
      <c r="J37" s="30" t="str">
        <f aca="false">HYPERLINK("https://www.sparkfun.com/teensy-4-1.html","Open")</f>
        <v>Open</v>
      </c>
    </row>
    <row r="38" customFormat="false" ht="15" hidden="false" customHeight="false" outlineLevel="0" collapsed="false">
      <c r="A38" s="7" t="s">
        <v>15</v>
      </c>
      <c r="B38" s="8"/>
      <c r="C38" s="8"/>
      <c r="D38" s="8"/>
      <c r="E38" s="8"/>
      <c r="F38" s="8"/>
      <c r="G38" s="8"/>
      <c r="H38" s="9" t="n">
        <f aca="false">SUM(H34:H37)</f>
        <v>492.34</v>
      </c>
      <c r="I38" s="8"/>
      <c r="J38" s="8"/>
      <c r="K38" s="8"/>
    </row>
    <row r="40" customFormat="false" ht="19.5" hidden="false" customHeight="true" outlineLevel="0" collapsed="false">
      <c r="A40" s="4" t="s">
        <v>125</v>
      </c>
      <c r="B40" s="5"/>
      <c r="C40" s="5"/>
      <c r="D40" s="5"/>
      <c r="E40" s="5"/>
      <c r="F40" s="5"/>
      <c r="G40" s="5"/>
      <c r="H40" s="5"/>
      <c r="I40" s="5"/>
      <c r="J40" s="5"/>
      <c r="K40" s="5"/>
    </row>
    <row r="41" customFormat="false" ht="55.2" hidden="false" customHeight="false" outlineLevel="0" collapsed="false">
      <c r="A41" s="27" t="s">
        <v>126</v>
      </c>
      <c r="B41" s="27" t="s">
        <v>127</v>
      </c>
      <c r="C41" s="27" t="s">
        <v>128</v>
      </c>
      <c r="D41" s="28" t="s">
        <v>112</v>
      </c>
      <c r="E41" s="27" t="s">
        <v>129</v>
      </c>
      <c r="F41" s="28" t="n">
        <v>2</v>
      </c>
      <c r="G41" s="29" t="n">
        <v>30.17</v>
      </c>
      <c r="H41" s="29" t="n">
        <f aca="false">F41*G41</f>
        <v>60.34</v>
      </c>
      <c r="I41" s="28" t="s">
        <v>87</v>
      </c>
      <c r="J41" s="30" t="str">
        <f aca="false">HYPERLINK("https://jlcpcb.com/","Open")</f>
        <v>Open</v>
      </c>
    </row>
    <row r="42" customFormat="false" ht="41.75" hidden="false" customHeight="false" outlineLevel="0" collapsed="false">
      <c r="A42" s="27" t="s">
        <v>130</v>
      </c>
      <c r="B42" s="27" t="s">
        <v>115</v>
      </c>
      <c r="C42" s="27" t="s">
        <v>84</v>
      </c>
      <c r="D42" s="28" t="s">
        <v>112</v>
      </c>
      <c r="E42" s="27" t="s">
        <v>116</v>
      </c>
      <c r="F42" s="28" t="n">
        <v>3</v>
      </c>
      <c r="G42" s="29" t="n">
        <v>0.8</v>
      </c>
      <c r="H42" s="29" t="n">
        <f aca="false">F42*G42</f>
        <v>2.4</v>
      </c>
      <c r="I42" s="28" t="s">
        <v>87</v>
      </c>
      <c r="J42" s="30" t="str">
        <f aca="false">HYPERLINK("https://jlcpcb.com/","Open")</f>
        <v>Open</v>
      </c>
    </row>
    <row r="43" customFormat="false" ht="55.2" hidden="false" customHeight="false" outlineLevel="0" collapsed="false">
      <c r="A43" s="27" t="s">
        <v>131</v>
      </c>
      <c r="B43" s="27" t="s">
        <v>132</v>
      </c>
      <c r="C43" s="27" t="s">
        <v>133</v>
      </c>
      <c r="D43" s="28" t="s">
        <v>119</v>
      </c>
      <c r="E43" s="27" t="s">
        <v>134</v>
      </c>
      <c r="F43" s="28" t="n">
        <v>2</v>
      </c>
      <c r="G43" s="29" t="n">
        <v>5.73</v>
      </c>
      <c r="H43" s="29" t="n">
        <f aca="false">F43*G43</f>
        <v>11.46</v>
      </c>
      <c r="I43" s="28" t="s">
        <v>94</v>
      </c>
      <c r="J43" s="30" t="str">
        <f aca="false">HYPERLINK("https://www.digikey.com/en/products/detail/ohmite/SM104031007FE/824190","Open")</f>
        <v>Open</v>
      </c>
    </row>
    <row r="44" customFormat="false" ht="28.35" hidden="false" customHeight="false" outlineLevel="0" collapsed="false">
      <c r="A44" s="27" t="s">
        <v>135</v>
      </c>
      <c r="B44" s="27" t="s">
        <v>136</v>
      </c>
      <c r="C44" s="27" t="s">
        <v>84</v>
      </c>
      <c r="D44" s="28" t="s">
        <v>119</v>
      </c>
      <c r="E44" s="27" t="s">
        <v>137</v>
      </c>
      <c r="F44" s="28" t="n">
        <v>2</v>
      </c>
      <c r="G44" s="29" t="n">
        <v>2.09</v>
      </c>
      <c r="H44" s="29" t="n">
        <f aca="false">F44*G44</f>
        <v>4.18</v>
      </c>
      <c r="I44" s="28" t="s">
        <v>94</v>
      </c>
      <c r="J44" s="30" t="str">
        <f aca="false">HYPERLINK("https://octopart.com/part/keystone/11301","Open")</f>
        <v>Open</v>
      </c>
    </row>
    <row r="45" customFormat="false" ht="28.35" hidden="false" customHeight="false" outlineLevel="0" collapsed="false">
      <c r="A45" s="27" t="s">
        <v>138</v>
      </c>
      <c r="B45" s="27" t="s">
        <v>139</v>
      </c>
      <c r="C45" s="27" t="s">
        <v>140</v>
      </c>
      <c r="D45" s="28" t="s">
        <v>85</v>
      </c>
      <c r="E45" s="27" t="s">
        <v>141</v>
      </c>
      <c r="F45" s="28" t="n">
        <v>1</v>
      </c>
      <c r="G45" s="29" t="n">
        <v>7.99</v>
      </c>
      <c r="H45" s="29" t="n">
        <f aca="false">F45*G45</f>
        <v>7.99</v>
      </c>
      <c r="I45" s="28" t="s">
        <v>94</v>
      </c>
      <c r="J45" s="30" t="str">
        <f aca="false">HYPERLINK("https://www.amazon.com/s?k=Kirecoo+copper+foil+tape+2+inch","Open")</f>
        <v>Open</v>
      </c>
    </row>
    <row r="46" customFormat="false" ht="15" hidden="false" customHeight="false" outlineLevel="0" collapsed="false">
      <c r="A46" s="7" t="s">
        <v>15</v>
      </c>
      <c r="B46" s="8"/>
      <c r="C46" s="8"/>
      <c r="D46" s="8"/>
      <c r="E46" s="8"/>
      <c r="F46" s="8"/>
      <c r="G46" s="8"/>
      <c r="H46" s="9" t="n">
        <f aca="false">SUM(H41:H45)</f>
        <v>86.37</v>
      </c>
      <c r="I46" s="8"/>
      <c r="J46" s="8"/>
      <c r="K46" s="8"/>
    </row>
    <row r="48" customFormat="false" ht="19.5" hidden="false" customHeight="true" outlineLevel="0" collapsed="false">
      <c r="A48" s="4" t="s">
        <v>142</v>
      </c>
      <c r="B48" s="5"/>
      <c r="C48" s="5"/>
      <c r="D48" s="5"/>
      <c r="E48" s="5"/>
      <c r="F48" s="5"/>
      <c r="G48" s="5"/>
      <c r="H48" s="5"/>
      <c r="I48" s="5"/>
      <c r="J48" s="5"/>
      <c r="K48" s="5"/>
    </row>
    <row r="49" customFormat="false" ht="28.35" hidden="false" customHeight="false" outlineLevel="0" collapsed="false">
      <c r="A49" s="27" t="s">
        <v>143</v>
      </c>
      <c r="B49" s="27" t="s">
        <v>144</v>
      </c>
      <c r="C49" s="27" t="s">
        <v>145</v>
      </c>
      <c r="D49" s="28" t="s">
        <v>146</v>
      </c>
      <c r="E49" s="27" t="s">
        <v>147</v>
      </c>
      <c r="F49" s="28" t="n">
        <v>1</v>
      </c>
      <c r="G49" s="29" t="n">
        <v>19.99</v>
      </c>
      <c r="H49" s="29" t="n">
        <f aca="false">F49*G49</f>
        <v>19.99</v>
      </c>
      <c r="I49" s="28" t="s">
        <v>94</v>
      </c>
      <c r="J49" s="30" t="str">
        <f aca="false">HYPERLINK("https://store.sunlu.com/products/petg-cfpetg-carbon-fiber-3d-printer-filament-1kg","Open")</f>
        <v>Open</v>
      </c>
    </row>
    <row r="50" customFormat="false" ht="28.35" hidden="false" customHeight="false" outlineLevel="0" collapsed="false">
      <c r="A50" s="27" t="s">
        <v>148</v>
      </c>
      <c r="B50" s="27" t="s">
        <v>149</v>
      </c>
      <c r="C50" s="27" t="s">
        <v>150</v>
      </c>
      <c r="D50" s="28" t="s">
        <v>85</v>
      </c>
      <c r="E50" s="27" t="s">
        <v>151</v>
      </c>
      <c r="F50" s="28" t="n">
        <v>1</v>
      </c>
      <c r="G50" s="29" t="n">
        <v>9.99</v>
      </c>
      <c r="H50" s="29" t="n">
        <f aca="false">F50*G50</f>
        <v>9.99</v>
      </c>
      <c r="I50" s="28" t="s">
        <v>94</v>
      </c>
      <c r="J50" s="30" t="str">
        <f aca="false">HYPERLINK("https://www.amazon.com/s?k=uxcell+4.6mm+steel+balls+100","Open")</f>
        <v>Open</v>
      </c>
    </row>
    <row r="51" customFormat="false" ht="28.35" hidden="false" customHeight="false" outlineLevel="0" collapsed="false">
      <c r="A51" s="27" t="s">
        <v>152</v>
      </c>
      <c r="B51" s="27" t="s">
        <v>153</v>
      </c>
      <c r="C51" s="27" t="s">
        <v>154</v>
      </c>
      <c r="D51" s="28" t="s">
        <v>155</v>
      </c>
      <c r="E51" s="27" t="s">
        <v>156</v>
      </c>
      <c r="F51" s="28" t="n">
        <v>1</v>
      </c>
      <c r="G51" s="29" t="n">
        <v>30</v>
      </c>
      <c r="H51" s="29" t="n">
        <f aca="false">F51*G51</f>
        <v>30</v>
      </c>
      <c r="I51" s="28" t="s">
        <v>94</v>
      </c>
      <c r="J51" s="30" t="str">
        <f aca="false">HYPERLINK("https://www.tedpella.com/AFM_html/AFM.aspx","Open")</f>
        <v>Open</v>
      </c>
    </row>
    <row r="52" customFormat="false" ht="41.75" hidden="false" customHeight="false" outlineLevel="0" collapsed="false">
      <c r="A52" s="27" t="s">
        <v>33</v>
      </c>
      <c r="B52" s="27" t="s">
        <v>157</v>
      </c>
      <c r="C52" s="27" t="s">
        <v>158</v>
      </c>
      <c r="D52" s="28" t="s">
        <v>85</v>
      </c>
      <c r="E52" s="27" t="s">
        <v>159</v>
      </c>
      <c r="F52" s="28" t="n">
        <v>1</v>
      </c>
      <c r="G52" s="29" t="n">
        <v>9.49</v>
      </c>
      <c r="H52" s="29" t="n">
        <f aca="false">F52*G52</f>
        <v>9.49</v>
      </c>
      <c r="I52" s="28" t="s">
        <v>94</v>
      </c>
      <c r="J52" s="30" t="str">
        <f aca="false">HYPERLINK("https://www.amazon.com/s?k=TRYMAG+small+neodymium+magnets","Open")</f>
        <v>Open</v>
      </c>
    </row>
    <row r="53" customFormat="false" ht="28.35" hidden="false" customHeight="false" outlineLevel="0" collapsed="false">
      <c r="A53" s="27" t="s">
        <v>160</v>
      </c>
      <c r="B53" s="27" t="s">
        <v>161</v>
      </c>
      <c r="C53" s="27" t="s">
        <v>162</v>
      </c>
      <c r="D53" s="28" t="s">
        <v>163</v>
      </c>
      <c r="E53" s="27" t="s">
        <v>164</v>
      </c>
      <c r="F53" s="28" t="n">
        <v>1</v>
      </c>
      <c r="G53" s="29" t="n">
        <v>35</v>
      </c>
      <c r="H53" s="29" t="n">
        <f aca="false">F53*G53</f>
        <v>35</v>
      </c>
      <c r="I53" s="31" t="s">
        <v>165</v>
      </c>
      <c r="J53" s="30" t="str">
        <f aca="false">HYPERLINK("https://www.isolateit.com/products/sorbothane-acoustic-and-vibration-isolation-square-6-x-6-pads","Open")</f>
        <v>Open</v>
      </c>
    </row>
    <row r="54" customFormat="false" ht="15" hidden="false" customHeight="false" outlineLevel="0" collapsed="false">
      <c r="A54" s="7" t="s">
        <v>15</v>
      </c>
      <c r="B54" s="8"/>
      <c r="C54" s="8"/>
      <c r="D54" s="8"/>
      <c r="E54" s="8"/>
      <c r="F54" s="8"/>
      <c r="G54" s="8"/>
      <c r="H54" s="9" t="n">
        <f aca="false">SUM(H49:H53)</f>
        <v>104.47</v>
      </c>
      <c r="I54" s="8"/>
      <c r="J54" s="8"/>
      <c r="K54" s="8"/>
    </row>
    <row r="56" customFormat="false" ht="19.5" hidden="false" customHeight="true" outlineLevel="0" collapsed="false">
      <c r="A56" s="4" t="s">
        <v>166</v>
      </c>
      <c r="B56" s="5"/>
      <c r="C56" s="5"/>
      <c r="D56" s="5"/>
      <c r="E56" s="5"/>
      <c r="F56" s="5"/>
      <c r="G56" s="5"/>
      <c r="H56" s="5"/>
      <c r="I56" s="5"/>
      <c r="J56" s="5"/>
      <c r="K56" s="5"/>
    </row>
    <row r="57" customFormat="false" ht="28.35" hidden="false" customHeight="false" outlineLevel="0" collapsed="false">
      <c r="A57" s="27" t="s">
        <v>167</v>
      </c>
      <c r="B57" s="27" t="s">
        <v>168</v>
      </c>
      <c r="C57" s="27" t="s">
        <v>169</v>
      </c>
      <c r="D57" s="28" t="s">
        <v>92</v>
      </c>
      <c r="E57" s="27" t="s">
        <v>170</v>
      </c>
      <c r="F57" s="28" t="n">
        <v>2</v>
      </c>
      <c r="G57" s="29" t="n">
        <v>11.5</v>
      </c>
      <c r="H57" s="29" t="n">
        <f aca="false">F57*G57</f>
        <v>23</v>
      </c>
      <c r="I57" s="28" t="s">
        <v>94</v>
      </c>
      <c r="J57" s="30" t="str">
        <f aca="false">HYPERLINK("https://adafruit.com/product/4821","Open")</f>
        <v>Open</v>
      </c>
    </row>
    <row r="58" customFormat="false" ht="15" hidden="false" customHeight="false" outlineLevel="0" collapsed="false">
      <c r="A58" s="7" t="s">
        <v>15</v>
      </c>
      <c r="B58" s="8"/>
      <c r="C58" s="8"/>
      <c r="D58" s="8"/>
      <c r="E58" s="8"/>
      <c r="F58" s="8"/>
      <c r="G58" s="8"/>
      <c r="H58" s="9" t="n">
        <f aca="false">SUM(H57:H57)</f>
        <v>23</v>
      </c>
      <c r="I58" s="8"/>
      <c r="J58" s="8"/>
      <c r="K58" s="8"/>
    </row>
    <row r="60" customFormat="false" ht="19.5" hidden="false" customHeight="true" outlineLevel="0" collapsed="false">
      <c r="A60" s="4" t="s">
        <v>171</v>
      </c>
      <c r="B60" s="5"/>
      <c r="C60" s="5"/>
      <c r="D60" s="5"/>
      <c r="E60" s="5"/>
      <c r="F60" s="5"/>
      <c r="G60" s="5"/>
      <c r="H60" s="5"/>
      <c r="I60" s="5"/>
      <c r="J60" s="5"/>
      <c r="K60" s="5"/>
    </row>
    <row r="61" customFormat="false" ht="55.2" hidden="false" customHeight="false" outlineLevel="0" collapsed="false">
      <c r="A61" s="27" t="s">
        <v>172</v>
      </c>
      <c r="B61" s="27" t="s">
        <v>173</v>
      </c>
      <c r="C61" s="27" t="s">
        <v>174</v>
      </c>
      <c r="D61" s="28" t="s">
        <v>175</v>
      </c>
      <c r="E61" s="27" t="s">
        <v>176</v>
      </c>
      <c r="F61" s="28" t="n">
        <v>2</v>
      </c>
      <c r="G61" s="29" t="n">
        <v>21.39</v>
      </c>
      <c r="H61" s="29" t="n">
        <f aca="false">F61*G61</f>
        <v>42.78</v>
      </c>
      <c r="I61" s="28" t="s">
        <v>94</v>
      </c>
      <c r="J61" s="30" t="str">
        <f aca="false">HYPERLINK("https://www.batteryjunction.com/products/energizer-ind-9v-en22-12pk","Open")</f>
        <v>Open</v>
      </c>
    </row>
    <row r="62" customFormat="false" ht="28.35" hidden="false" customHeight="false" outlineLevel="0" collapsed="false">
      <c r="A62" s="27" t="s">
        <v>177</v>
      </c>
      <c r="B62" s="27" t="s">
        <v>178</v>
      </c>
      <c r="C62" s="27" t="s">
        <v>179</v>
      </c>
      <c r="D62" s="28" t="s">
        <v>119</v>
      </c>
      <c r="E62" s="27" t="s">
        <v>180</v>
      </c>
      <c r="F62" s="28" t="n">
        <v>10</v>
      </c>
      <c r="G62" s="29" t="n">
        <v>0.61</v>
      </c>
      <c r="H62" s="29" t="n">
        <f aca="false">F62*G62</f>
        <v>6.1</v>
      </c>
      <c r="I62" s="28" t="s">
        <v>94</v>
      </c>
      <c r="J62" s="30" t="str">
        <f aca="false">HYPERLINK("https://octopart.com/part/keystone/232","Open")</f>
        <v>Open</v>
      </c>
    </row>
    <row r="63" customFormat="false" ht="28.35" hidden="false" customHeight="false" outlineLevel="0" collapsed="false">
      <c r="A63" s="27" t="s">
        <v>181</v>
      </c>
      <c r="B63" s="27" t="s">
        <v>182</v>
      </c>
      <c r="C63" s="27" t="s">
        <v>183</v>
      </c>
      <c r="D63" s="28" t="s">
        <v>175</v>
      </c>
      <c r="E63" s="27" t="s">
        <v>184</v>
      </c>
      <c r="F63" s="28" t="n">
        <v>1</v>
      </c>
      <c r="G63" s="29" t="n">
        <v>10.95</v>
      </c>
      <c r="H63" s="29" t="n">
        <f aca="false">F63*G63</f>
        <v>10.95</v>
      </c>
      <c r="I63" s="28" t="s">
        <v>94</v>
      </c>
      <c r="J63" s="30" t="str">
        <f aca="false">HYPERLINK("https://www.batteryjunction.com/products/energizer-ind-aa-en91-24pk","Open")</f>
        <v>Open</v>
      </c>
    </row>
    <row r="64" customFormat="false" ht="15" hidden="false" customHeight="false" outlineLevel="0" collapsed="false">
      <c r="A64" s="27" t="s">
        <v>185</v>
      </c>
      <c r="B64" s="27" t="s">
        <v>186</v>
      </c>
      <c r="C64" s="27" t="s">
        <v>187</v>
      </c>
      <c r="D64" s="28" t="s">
        <v>92</v>
      </c>
      <c r="E64" s="27" t="s">
        <v>188</v>
      </c>
      <c r="F64" s="28" t="n">
        <v>2</v>
      </c>
      <c r="G64" s="29" t="n">
        <v>2.95</v>
      </c>
      <c r="H64" s="29" t="n">
        <f aca="false">F64*G64</f>
        <v>5.9</v>
      </c>
      <c r="I64" s="28" t="s">
        <v>94</v>
      </c>
      <c r="J64" s="30" t="str">
        <f aca="false">HYPERLINK("https://www.adafruit.com/product/449","Open")</f>
        <v>Open</v>
      </c>
    </row>
    <row r="65" customFormat="false" ht="15" hidden="false" customHeight="false" outlineLevel="0" collapsed="false">
      <c r="A65" s="7" t="s">
        <v>15</v>
      </c>
      <c r="B65" s="8"/>
      <c r="C65" s="8"/>
      <c r="D65" s="8"/>
      <c r="E65" s="8"/>
      <c r="F65" s="8"/>
      <c r="G65" s="8"/>
      <c r="H65" s="9" t="n">
        <f aca="false">SUM(H61:H64)</f>
        <v>65.73</v>
      </c>
      <c r="I65" s="8"/>
      <c r="J65" s="8"/>
      <c r="K65" s="8"/>
    </row>
    <row r="67" customFormat="false" ht="15" hidden="false" customHeight="false" outlineLevel="0" collapsed="false">
      <c r="A67" s="32" t="s">
        <v>189</v>
      </c>
      <c r="B67" s="33"/>
      <c r="C67" s="33"/>
      <c r="D67" s="33"/>
      <c r="E67" s="33"/>
      <c r="F67" s="33"/>
      <c r="G67" s="33"/>
      <c r="H67" s="34" t="n">
        <f aca="false">H24+H31+H38+H46+H54+H58+H65</f>
        <v>849.66</v>
      </c>
      <c r="I67" s="33"/>
      <c r="J67" s="33"/>
      <c r="K67" s="33"/>
    </row>
    <row r="69" customFormat="false" ht="19.5" hidden="false" customHeight="true" outlineLevel="0" collapsed="false">
      <c r="A69" s="4" t="s">
        <v>190</v>
      </c>
      <c r="B69" s="5"/>
      <c r="C69" s="5"/>
      <c r="D69" s="5"/>
      <c r="E69" s="5"/>
      <c r="F69" s="5"/>
      <c r="G69" s="5"/>
      <c r="H69" s="5"/>
      <c r="I69" s="5"/>
      <c r="J69" s="5"/>
      <c r="K69" s="5"/>
    </row>
    <row r="70" customFormat="false" ht="30" hidden="false" customHeight="true" outlineLevel="0" collapsed="false">
      <c r="A70" s="28" t="s">
        <v>12</v>
      </c>
      <c r="B70" s="26" t="s">
        <v>191</v>
      </c>
      <c r="C70" s="26"/>
      <c r="D70" s="26"/>
      <c r="E70" s="26"/>
      <c r="H70" s="29" t="n">
        <v>106.75</v>
      </c>
    </row>
    <row r="71" customFormat="false" ht="30" hidden="false" customHeight="true" outlineLevel="0" collapsed="false">
      <c r="A71" s="28" t="s">
        <v>192</v>
      </c>
      <c r="B71" s="26" t="s">
        <v>193</v>
      </c>
      <c r="C71" s="26"/>
      <c r="D71" s="26"/>
      <c r="E71" s="26"/>
      <c r="H71" s="29" t="n">
        <v>170.47</v>
      </c>
    </row>
    <row r="72" customFormat="false" ht="30" hidden="false" customHeight="true" outlineLevel="0" collapsed="false">
      <c r="A72" s="28" t="s">
        <v>194</v>
      </c>
      <c r="B72" s="26" t="s">
        <v>195</v>
      </c>
      <c r="C72" s="26"/>
      <c r="D72" s="26"/>
      <c r="E72" s="26"/>
      <c r="H72" s="29" t="n">
        <v>4.66</v>
      </c>
    </row>
    <row r="73" customFormat="false" ht="15" hidden="false" customHeight="false" outlineLevel="0" collapsed="false">
      <c r="A73" s="32" t="s">
        <v>196</v>
      </c>
      <c r="B73" s="33"/>
      <c r="C73" s="33"/>
      <c r="D73" s="33"/>
      <c r="E73" s="33"/>
      <c r="F73" s="33"/>
      <c r="G73" s="33"/>
      <c r="H73" s="34" t="n">
        <f aca="false">SUM(H70:H72)</f>
        <v>281.88</v>
      </c>
      <c r="I73" s="33"/>
      <c r="J73" s="33"/>
      <c r="K73" s="33"/>
    </row>
    <row r="74" customFormat="false" ht="15" hidden="false" customHeight="true" outlineLevel="0" collapsed="false">
      <c r="B74" s="35" t="s">
        <v>197</v>
      </c>
      <c r="C74" s="35"/>
      <c r="D74" s="35"/>
      <c r="E74" s="35"/>
      <c r="F74" s="35"/>
      <c r="G74" s="35"/>
      <c r="H74" s="35"/>
      <c r="I74" s="35"/>
      <c r="J74" s="35"/>
      <c r="K74" s="35"/>
    </row>
    <row r="76" customFormat="false" ht="21.75" hidden="false" customHeight="true" outlineLevel="0" collapsed="false">
      <c r="A76" s="36" t="s">
        <v>198</v>
      </c>
      <c r="B76" s="37"/>
      <c r="C76" s="37"/>
      <c r="D76" s="37"/>
      <c r="E76" s="37"/>
      <c r="F76" s="37"/>
      <c r="G76" s="37"/>
      <c r="H76" s="37"/>
      <c r="I76" s="37"/>
      <c r="J76" s="37"/>
      <c r="K76" s="37"/>
    </row>
    <row r="77" customFormat="false" ht="45.75" hidden="false" customHeight="true" outlineLevel="0" collapsed="false">
      <c r="A77" s="26" t="s">
        <v>199</v>
      </c>
      <c r="B77" s="26"/>
      <c r="C77" s="26"/>
      <c r="D77" s="26"/>
      <c r="E77" s="26"/>
      <c r="F77" s="26"/>
      <c r="G77" s="26"/>
      <c r="H77" s="26"/>
      <c r="I77" s="26"/>
      <c r="J77" s="26"/>
      <c r="K77" s="26"/>
    </row>
    <row r="78" customFormat="false" ht="21.75" hidden="false" customHeight="true" outlineLevel="0" collapsed="false">
      <c r="A78" s="38" t="s">
        <v>200</v>
      </c>
      <c r="B78" s="39"/>
      <c r="C78" s="39"/>
      <c r="D78" s="39"/>
      <c r="E78" s="39"/>
      <c r="F78" s="39"/>
      <c r="G78" s="39"/>
      <c r="H78" s="39"/>
      <c r="I78" s="40" t="s">
        <v>201</v>
      </c>
      <c r="J78" s="39"/>
      <c r="K78" s="41" t="s">
        <v>202</v>
      </c>
    </row>
    <row r="79" customFormat="false" ht="19.5" hidden="false" customHeight="true" outlineLevel="0" collapsed="false">
      <c r="A79" s="42" t="s">
        <v>2</v>
      </c>
      <c r="B79" s="42" t="s">
        <v>75</v>
      </c>
      <c r="C79" s="42" t="s">
        <v>67</v>
      </c>
      <c r="D79" s="42" t="s">
        <v>76</v>
      </c>
      <c r="E79" s="42" t="s">
        <v>77</v>
      </c>
      <c r="F79" s="42" t="s">
        <v>3</v>
      </c>
      <c r="G79" s="42" t="s">
        <v>78</v>
      </c>
      <c r="H79" s="42" t="s">
        <v>79</v>
      </c>
      <c r="I79" s="42" t="s">
        <v>69</v>
      </c>
      <c r="J79" s="42" t="s">
        <v>80</v>
      </c>
      <c r="K79" s="42" t="s">
        <v>203</v>
      </c>
    </row>
    <row r="80" customFormat="false" ht="19.5" hidden="false" customHeight="true" outlineLevel="0" collapsed="false">
      <c r="A80" s="43" t="s">
        <v>204</v>
      </c>
      <c r="B80" s="39"/>
      <c r="C80" s="39"/>
      <c r="D80" s="39"/>
      <c r="E80" s="39"/>
      <c r="F80" s="39"/>
      <c r="G80" s="39"/>
      <c r="H80" s="39"/>
      <c r="I80" s="39"/>
      <c r="J80" s="39"/>
      <c r="K80" s="39"/>
    </row>
    <row r="81" customFormat="false" ht="41.75" hidden="false" customHeight="false" outlineLevel="0" collapsed="false">
      <c r="A81" s="27" t="s">
        <v>204</v>
      </c>
      <c r="B81" s="27" t="s">
        <v>205</v>
      </c>
      <c r="C81" s="27" t="s">
        <v>206</v>
      </c>
      <c r="D81" s="28" t="s">
        <v>207</v>
      </c>
      <c r="E81" s="27" t="s">
        <v>208</v>
      </c>
      <c r="F81" s="28" t="n">
        <v>1</v>
      </c>
      <c r="G81" s="29" t="n">
        <v>131</v>
      </c>
      <c r="H81" s="29" t="n">
        <f aca="false">F81*G81</f>
        <v>131</v>
      </c>
      <c r="I81" s="28" t="s">
        <v>94</v>
      </c>
      <c r="J81" s="30" t="str">
        <f aca="false">HYPERLINK("https://www.piezodrive.com/product/tb3006-n-29um-range-piezo-tube-scanner/","Open")</f>
        <v>Open</v>
      </c>
    </row>
    <row r="82" customFormat="false" ht="19.5" hidden="false" customHeight="true" outlineLevel="0" collapsed="false">
      <c r="A82" s="43" t="s">
        <v>209</v>
      </c>
      <c r="B82" s="39"/>
      <c r="C82" s="39"/>
      <c r="D82" s="39"/>
      <c r="E82" s="39"/>
      <c r="F82" s="39"/>
      <c r="G82" s="39"/>
      <c r="H82" s="39"/>
      <c r="I82" s="39"/>
      <c r="J82" s="39"/>
      <c r="K82" s="39"/>
    </row>
    <row r="83" customFormat="false" ht="41.75" hidden="false" customHeight="false" outlineLevel="0" collapsed="false">
      <c r="A83" s="27" t="s">
        <v>210</v>
      </c>
      <c r="B83" s="27" t="s">
        <v>211</v>
      </c>
      <c r="C83" s="27" t="s">
        <v>212</v>
      </c>
      <c r="D83" s="28" t="s">
        <v>85</v>
      </c>
      <c r="E83" s="27" t="s">
        <v>213</v>
      </c>
      <c r="F83" s="28" t="n">
        <v>1</v>
      </c>
      <c r="G83" s="29" t="n">
        <v>35</v>
      </c>
      <c r="H83" s="29" t="n">
        <f aca="false">F83*G83</f>
        <v>35</v>
      </c>
      <c r="I83" s="31" t="s">
        <v>165</v>
      </c>
      <c r="J83" s="30" t="str">
        <f aca="false">HYPERLINK("https://www.amazon.com/s?k=Macor+machinable+ceramic+rod","Open")</f>
        <v>Open</v>
      </c>
    </row>
    <row r="84" customFormat="false" ht="28.35" hidden="false" customHeight="false" outlineLevel="0" collapsed="false">
      <c r="A84" s="27" t="s">
        <v>214</v>
      </c>
      <c r="B84" s="27" t="s">
        <v>215</v>
      </c>
      <c r="C84" s="27" t="s">
        <v>216</v>
      </c>
      <c r="D84" s="28" t="s">
        <v>85</v>
      </c>
      <c r="E84" s="27" t="s">
        <v>217</v>
      </c>
      <c r="F84" s="28" t="n">
        <v>1</v>
      </c>
      <c r="G84" s="29" t="n">
        <v>15</v>
      </c>
      <c r="H84" s="29" t="n">
        <f aca="false">F84*G84</f>
        <v>15</v>
      </c>
      <c r="I84" s="31" t="s">
        <v>165</v>
      </c>
      <c r="J84" s="30" t="str">
        <f aca="false">HYPERLINK("https://www.amazon.com/s?k=Loctite+EA+E-30CL+epoxy","Open")</f>
        <v>Open</v>
      </c>
    </row>
    <row r="85" customFormat="false" ht="28.35" hidden="false" customHeight="false" outlineLevel="0" collapsed="false">
      <c r="A85" s="27" t="s">
        <v>218</v>
      </c>
      <c r="B85" s="27" t="s">
        <v>219</v>
      </c>
      <c r="C85" s="27" t="s">
        <v>220</v>
      </c>
      <c r="D85" s="28" t="s">
        <v>85</v>
      </c>
      <c r="E85" s="27" t="s">
        <v>221</v>
      </c>
      <c r="F85" s="28" t="n">
        <v>1</v>
      </c>
      <c r="G85" s="29" t="n">
        <v>25</v>
      </c>
      <c r="H85" s="29" t="n">
        <f aca="false">F85*G85</f>
        <v>25</v>
      </c>
      <c r="I85" s="31" t="s">
        <v>165</v>
      </c>
      <c r="J85" s="30" t="str">
        <f aca="false">HYPERLINK("https://www.amazon.com/s?k=CW2400+conductive+silver+epoxy","Open")</f>
        <v>Open</v>
      </c>
    </row>
    <row r="86" customFormat="false" ht="41.75" hidden="false" customHeight="false" outlineLevel="0" collapsed="false">
      <c r="A86" s="27" t="s">
        <v>222</v>
      </c>
      <c r="B86" s="27" t="s">
        <v>223</v>
      </c>
      <c r="C86" s="27" t="s">
        <v>224</v>
      </c>
      <c r="D86" s="28" t="s">
        <v>85</v>
      </c>
      <c r="E86" s="27" t="s">
        <v>225</v>
      </c>
      <c r="F86" s="28" t="n">
        <v>1</v>
      </c>
      <c r="G86" s="29" t="n">
        <v>10</v>
      </c>
      <c r="H86" s="29" t="n">
        <f aca="false">F86*G86</f>
        <v>10</v>
      </c>
      <c r="I86" s="31" t="s">
        <v>165</v>
      </c>
      <c r="J86" s="30" t="str">
        <f aca="false">HYPERLINK("https://www.amazon.com/s?k=23+gauge+stainless+steel+hypodermic+tubing","Open")</f>
        <v>Open</v>
      </c>
    </row>
    <row r="87" customFormat="false" ht="28.35" hidden="false" customHeight="false" outlineLevel="0" collapsed="false">
      <c r="A87" s="27" t="s">
        <v>226</v>
      </c>
      <c r="B87" s="27" t="s">
        <v>227</v>
      </c>
      <c r="C87" s="27" t="s">
        <v>228</v>
      </c>
      <c r="D87" s="28" t="s">
        <v>85</v>
      </c>
      <c r="E87" s="27" t="s">
        <v>229</v>
      </c>
      <c r="F87" s="28" t="n">
        <v>1</v>
      </c>
      <c r="G87" s="29" t="n">
        <v>10</v>
      </c>
      <c r="H87" s="29" t="n">
        <f aca="false">F87*G87</f>
        <v>10</v>
      </c>
      <c r="I87" s="31" t="s">
        <v>165</v>
      </c>
      <c r="J87" s="30" t="str">
        <f aca="false">HYPERLINK("https://www.amazon.com/s?k=micro+coax+cable+1mm","Open")</f>
        <v>Open</v>
      </c>
    </row>
    <row r="88" customFormat="false" ht="41.75" hidden="false" customHeight="false" outlineLevel="0" collapsed="false">
      <c r="A88" s="27" t="s">
        <v>230</v>
      </c>
      <c r="B88" s="27" t="s">
        <v>231</v>
      </c>
      <c r="C88" s="27" t="s">
        <v>232</v>
      </c>
      <c r="D88" s="28" t="s">
        <v>85</v>
      </c>
      <c r="E88" s="27" t="s">
        <v>233</v>
      </c>
      <c r="F88" s="28" t="n">
        <v>1</v>
      </c>
      <c r="G88" s="29" t="n">
        <v>12</v>
      </c>
      <c r="H88" s="29" t="n">
        <f aca="false">F88*G88</f>
        <v>12</v>
      </c>
      <c r="I88" s="31" t="s">
        <v>165</v>
      </c>
      <c r="J88" s="30" t="str">
        <f aca="false">HYPERLINK("https://www.amazon.com/s?k=Hammond+1590B+diecast+aluminum+enclosure","Open")</f>
        <v>Open</v>
      </c>
    </row>
    <row r="89" customFormat="false" ht="28.35" hidden="false" customHeight="false" outlineLevel="0" collapsed="false">
      <c r="A89" s="27" t="s">
        <v>234</v>
      </c>
      <c r="B89" s="27" t="s">
        <v>235</v>
      </c>
      <c r="C89" s="27" t="s">
        <v>236</v>
      </c>
      <c r="D89" s="28" t="s">
        <v>85</v>
      </c>
      <c r="E89" s="27" t="s">
        <v>237</v>
      </c>
      <c r="F89" s="28" t="n">
        <v>2</v>
      </c>
      <c r="G89" s="29" t="n">
        <v>3</v>
      </c>
      <c r="H89" s="29" t="n">
        <f aca="false">F89*G89</f>
        <v>6</v>
      </c>
      <c r="I89" s="31" t="s">
        <v>165</v>
      </c>
      <c r="J89" s="30" t="str">
        <f aca="false">HYPERLINK("https://www.amazon.com/s?k=DB9+connector+with+backshell","Open")</f>
        <v>Open</v>
      </c>
    </row>
    <row r="90" customFormat="false" ht="28.35" hidden="false" customHeight="false" outlineLevel="0" collapsed="false">
      <c r="A90" s="27" t="s">
        <v>238</v>
      </c>
      <c r="B90" s="27" t="s">
        <v>239</v>
      </c>
      <c r="C90" s="27" t="s">
        <v>240</v>
      </c>
      <c r="D90" s="28" t="s">
        <v>85</v>
      </c>
      <c r="E90" s="27" t="s">
        <v>241</v>
      </c>
      <c r="F90" s="28" t="n">
        <v>1</v>
      </c>
      <c r="G90" s="29" t="n">
        <v>8</v>
      </c>
      <c r="H90" s="29" t="n">
        <f aca="false">F90*G90</f>
        <v>8</v>
      </c>
      <c r="I90" s="31" t="s">
        <v>165</v>
      </c>
      <c r="J90" s="30" t="str">
        <f aca="false">HYPERLINK("https://www.amazon.com/s?k=5+core+shielded+cable+300V","Open")</f>
        <v>Open</v>
      </c>
    </row>
    <row r="91" customFormat="false" ht="28.35" hidden="false" customHeight="false" outlineLevel="0" collapsed="false">
      <c r="A91" s="27" t="s">
        <v>242</v>
      </c>
      <c r="B91" s="27" t="s">
        <v>243</v>
      </c>
      <c r="C91" s="27" t="s">
        <v>244</v>
      </c>
      <c r="D91" s="28" t="s">
        <v>85</v>
      </c>
      <c r="E91" s="27" t="s">
        <v>245</v>
      </c>
      <c r="F91" s="28" t="n">
        <v>8</v>
      </c>
      <c r="G91" s="29" t="n">
        <v>0.5</v>
      </c>
      <c r="H91" s="29" t="n">
        <f aca="false">F91*G91</f>
        <v>4</v>
      </c>
      <c r="I91" s="31" t="s">
        <v>165</v>
      </c>
      <c r="J91" s="30" t="str">
        <f aca="false">HYPERLINK("https://www.amazon.com/s?k=2.2nF+100V+film+capacitor","Open")</f>
        <v>Open</v>
      </c>
    </row>
    <row r="92" customFormat="false" ht="28.35" hidden="false" customHeight="false" outlineLevel="0" collapsed="false">
      <c r="A92" s="27" t="s">
        <v>246</v>
      </c>
      <c r="B92" s="27" t="s">
        <v>247</v>
      </c>
      <c r="C92" s="27" t="s">
        <v>248</v>
      </c>
      <c r="D92" s="28" t="s">
        <v>85</v>
      </c>
      <c r="E92" s="27" t="s">
        <v>249</v>
      </c>
      <c r="F92" s="28" t="n">
        <v>1</v>
      </c>
      <c r="G92" s="29" t="n">
        <v>5</v>
      </c>
      <c r="H92" s="29" t="n">
        <f aca="false">F92*G92</f>
        <v>5</v>
      </c>
      <c r="I92" s="31" t="s">
        <v>165</v>
      </c>
      <c r="J92" s="30" t="str">
        <f aca="false">HYPERLINK("https://www.amazon.com/s?k=M3+heat+set+inserts+kit","Open")</f>
        <v>Open</v>
      </c>
    </row>
    <row r="93" customFormat="false" ht="19.5" hidden="false" customHeight="true" outlineLevel="0" collapsed="false">
      <c r="A93" s="43" t="s">
        <v>250</v>
      </c>
      <c r="B93" s="39"/>
      <c r="C93" s="39"/>
      <c r="D93" s="39"/>
      <c r="E93" s="39"/>
      <c r="F93" s="39"/>
      <c r="G93" s="39"/>
      <c r="H93" s="39"/>
      <c r="I93" s="39"/>
      <c r="J93" s="39"/>
      <c r="K93" s="39"/>
    </row>
    <row r="94" customFormat="false" ht="41.75" hidden="false" customHeight="false" outlineLevel="0" collapsed="false">
      <c r="A94" s="27" t="s">
        <v>251</v>
      </c>
      <c r="B94" s="27" t="s">
        <v>252</v>
      </c>
      <c r="C94" s="27" t="s">
        <v>253</v>
      </c>
      <c r="D94" s="28" t="s">
        <v>254</v>
      </c>
      <c r="E94" s="27" t="s">
        <v>255</v>
      </c>
      <c r="F94" s="28" t="n">
        <v>5</v>
      </c>
      <c r="G94" s="29" t="n">
        <v>6.725</v>
      </c>
      <c r="H94" s="29" t="n">
        <f aca="false">F94*G94</f>
        <v>33.625</v>
      </c>
      <c r="I94" s="28" t="s">
        <v>94</v>
      </c>
      <c r="J94" s="30" t="str">
        <f aca="false">HYPERLINK("https://www.lcsc.com/product-detail/C50636.html","Open")</f>
        <v>Open</v>
      </c>
    </row>
    <row r="95" customFormat="false" ht="41.75" hidden="false" customHeight="false" outlineLevel="0" collapsed="false">
      <c r="A95" s="27" t="s">
        <v>256</v>
      </c>
      <c r="B95" s="27" t="s">
        <v>257</v>
      </c>
      <c r="C95" s="27" t="s">
        <v>258</v>
      </c>
      <c r="D95" s="28" t="s">
        <v>254</v>
      </c>
      <c r="E95" s="27" t="s">
        <v>259</v>
      </c>
      <c r="F95" s="28" t="n">
        <v>1</v>
      </c>
      <c r="G95" s="29" t="n">
        <v>40</v>
      </c>
      <c r="H95" s="29" t="n">
        <f aca="false">F95*G95</f>
        <v>40</v>
      </c>
      <c r="I95" s="31" t="s">
        <v>165</v>
      </c>
      <c r="J95" s="30" t="str">
        <f aca="false">HYPERLINK("https://www.lcsc.com/","Open")</f>
        <v>Open</v>
      </c>
    </row>
    <row r="96" customFormat="false" ht="28.35" hidden="false" customHeight="false" outlineLevel="0" collapsed="false">
      <c r="A96" s="27" t="s">
        <v>260</v>
      </c>
      <c r="B96" s="27" t="s">
        <v>261</v>
      </c>
      <c r="C96" s="27" t="s">
        <v>258</v>
      </c>
      <c r="D96" s="28" t="s">
        <v>112</v>
      </c>
      <c r="E96" s="27" t="s">
        <v>116</v>
      </c>
      <c r="F96" s="28" t="n">
        <v>5</v>
      </c>
      <c r="G96" s="29" t="n">
        <v>2</v>
      </c>
      <c r="H96" s="29" t="n">
        <f aca="false">F96*G96</f>
        <v>10</v>
      </c>
      <c r="I96" s="31" t="s">
        <v>165</v>
      </c>
      <c r="J96" s="30" t="str">
        <f aca="false">HYPERLINK("https://jlcpcb.com/","Open")</f>
        <v>Open</v>
      </c>
    </row>
    <row r="97" customFormat="false" ht="19.5" hidden="false" customHeight="true" outlineLevel="0" collapsed="false">
      <c r="A97" s="43" t="s">
        <v>262</v>
      </c>
      <c r="B97" s="39"/>
      <c r="C97" s="39"/>
      <c r="D97" s="39"/>
      <c r="E97" s="39"/>
      <c r="F97" s="39"/>
      <c r="G97" s="39"/>
      <c r="H97" s="39"/>
      <c r="I97" s="39"/>
      <c r="J97" s="39"/>
      <c r="K97" s="39"/>
    </row>
    <row r="98" customFormat="false" ht="28.35" hidden="false" customHeight="false" outlineLevel="0" collapsed="false">
      <c r="A98" s="27" t="s">
        <v>263</v>
      </c>
      <c r="B98" s="27" t="s">
        <v>264</v>
      </c>
      <c r="C98" s="27" t="s">
        <v>265</v>
      </c>
      <c r="D98" s="28" t="s">
        <v>175</v>
      </c>
      <c r="E98" s="27" t="s">
        <v>176</v>
      </c>
      <c r="F98" s="28" t="n">
        <v>1</v>
      </c>
      <c r="G98" s="29" t="n">
        <v>21.39</v>
      </c>
      <c r="H98" s="29" t="n">
        <f aca="false">F98*G98</f>
        <v>21.39</v>
      </c>
      <c r="I98" s="28" t="s">
        <v>94</v>
      </c>
      <c r="J98" s="30" t="str">
        <f aca="false">HYPERLINK("https://www.batteryjunction.com/products/energizer-ind-9v-en22-12pk","Open")</f>
        <v>Open</v>
      </c>
    </row>
    <row r="99" customFormat="false" ht="15" hidden="false" customHeight="false" outlineLevel="0" collapsed="false">
      <c r="A99" s="27" t="s">
        <v>266</v>
      </c>
      <c r="B99" s="27" t="s">
        <v>267</v>
      </c>
      <c r="C99" s="27" t="s">
        <v>179</v>
      </c>
      <c r="D99" s="28" t="s">
        <v>119</v>
      </c>
      <c r="E99" s="27" t="s">
        <v>180</v>
      </c>
      <c r="F99" s="28" t="n">
        <v>10</v>
      </c>
      <c r="G99" s="29" t="n">
        <v>0.61</v>
      </c>
      <c r="H99" s="29" t="n">
        <f aca="false">F99*G99</f>
        <v>6.1</v>
      </c>
      <c r="I99" s="28" t="s">
        <v>94</v>
      </c>
      <c r="J99" s="30" t="str">
        <f aca="false">HYPERLINK("https://octopart.com/part/keystone/232","Open")</f>
        <v>Open</v>
      </c>
    </row>
    <row r="100" customFormat="false" ht="19.5" hidden="false" customHeight="true" outlineLevel="0" collapsed="false">
      <c r="A100" s="43" t="s">
        <v>268</v>
      </c>
      <c r="B100" s="39"/>
      <c r="C100" s="39"/>
      <c r="D100" s="39"/>
      <c r="E100" s="39"/>
      <c r="F100" s="39"/>
      <c r="G100" s="39"/>
      <c r="H100" s="39"/>
      <c r="I100" s="39"/>
      <c r="J100" s="39"/>
      <c r="K100" s="39"/>
    </row>
    <row r="101" customFormat="false" ht="41.75" hidden="false" customHeight="false" outlineLevel="0" collapsed="false">
      <c r="A101" s="27" t="s">
        <v>269</v>
      </c>
      <c r="B101" s="27" t="s">
        <v>270</v>
      </c>
      <c r="C101" s="27" t="s">
        <v>271</v>
      </c>
      <c r="D101" s="28" t="s">
        <v>207</v>
      </c>
      <c r="E101" s="27" t="s">
        <v>208</v>
      </c>
      <c r="F101" s="28" t="n">
        <v>1</v>
      </c>
      <c r="G101" s="29" t="n">
        <v>131</v>
      </c>
      <c r="H101" s="29" t="n">
        <f aca="false">IF(K101="Yes",F101*G101,0)</f>
        <v>0</v>
      </c>
      <c r="I101" s="28" t="s">
        <v>94</v>
      </c>
      <c r="J101" s="30" t="str">
        <f aca="false">HYPERLINK("https://www.piezodrive.com/product/tb3006-n-29um-range-piezo-tube-scanner/","Open")</f>
        <v>Open</v>
      </c>
      <c r="K101" s="44" t="s">
        <v>272</v>
      </c>
    </row>
    <row r="102" customFormat="false" ht="55.2" hidden="false" customHeight="false" outlineLevel="0" collapsed="false">
      <c r="A102" s="27" t="s">
        <v>273</v>
      </c>
      <c r="B102" s="27" t="s">
        <v>274</v>
      </c>
      <c r="C102" s="27" t="s">
        <v>275</v>
      </c>
      <c r="D102" s="28" t="s">
        <v>276</v>
      </c>
      <c r="E102" s="27" t="s">
        <v>277</v>
      </c>
      <c r="F102" s="28" t="n">
        <v>1</v>
      </c>
      <c r="G102" s="29" t="n">
        <v>40</v>
      </c>
      <c r="H102" s="29" t="n">
        <f aca="false">IF(K102="Yes",F102*G102,0)</f>
        <v>0</v>
      </c>
      <c r="I102" s="31" t="s">
        <v>165</v>
      </c>
      <c r="J102" s="30" t="str">
        <f aca="false">HYPERLINK("https://sendcutsend.com/","Open")</f>
        <v>Open</v>
      </c>
      <c r="K102" s="44" t="s">
        <v>272</v>
      </c>
    </row>
    <row r="103" customFormat="false" ht="15" hidden="false" customHeight="false" outlineLevel="0" collapsed="false">
      <c r="A103" s="7" t="s">
        <v>278</v>
      </c>
      <c r="B103" s="8"/>
      <c r="C103" s="8"/>
      <c r="D103" s="8"/>
      <c r="E103" s="8"/>
      <c r="F103" s="8"/>
      <c r="G103" s="8"/>
      <c r="H103" s="9" t="n">
        <f aca="false">SUM(H80:H102)</f>
        <v>372.115</v>
      </c>
      <c r="I103" s="8"/>
      <c r="J103" s="8"/>
      <c r="K103" s="8"/>
    </row>
    <row r="105" customFormat="false" ht="19.5" hidden="false" customHeight="true" outlineLevel="0" collapsed="false">
      <c r="A105" s="43" t="s">
        <v>279</v>
      </c>
      <c r="B105" s="39"/>
      <c r="C105" s="39"/>
      <c r="D105" s="39"/>
      <c r="E105" s="39"/>
      <c r="F105" s="39"/>
      <c r="G105" s="39"/>
      <c r="H105" s="39"/>
      <c r="I105" s="39"/>
      <c r="J105" s="39"/>
      <c r="K105" s="39"/>
    </row>
    <row r="106" customFormat="false" ht="30" hidden="false" customHeight="true" outlineLevel="0" collapsed="false">
      <c r="A106" s="28" t="s">
        <v>12</v>
      </c>
      <c r="B106" s="26" t="s">
        <v>280</v>
      </c>
      <c r="C106" s="26"/>
      <c r="D106" s="26"/>
      <c r="E106" s="26"/>
      <c r="H106" s="29" t="n">
        <v>60</v>
      </c>
    </row>
    <row r="107" customFormat="false" ht="30" hidden="false" customHeight="true" outlineLevel="0" collapsed="false">
      <c r="A107" s="28" t="s">
        <v>192</v>
      </c>
      <c r="B107" s="26" t="s">
        <v>281</v>
      </c>
      <c r="C107" s="26"/>
      <c r="D107" s="26"/>
      <c r="E107" s="26"/>
      <c r="H107" s="29" t="n">
        <f aca="false">ROUND(0.35*(H94+H95+H96),2)</f>
        <v>29.27</v>
      </c>
    </row>
    <row r="108" customFormat="false" ht="30" hidden="false" customHeight="true" outlineLevel="0" collapsed="false">
      <c r="A108" s="28" t="s">
        <v>194</v>
      </c>
      <c r="B108" s="26" t="s">
        <v>282</v>
      </c>
      <c r="C108" s="26"/>
      <c r="D108" s="26"/>
      <c r="E108" s="26"/>
      <c r="H108" s="29" t="n">
        <f aca="false">ROUND(0.1*(H81+H101)+0.08*(H99),2)+65</f>
        <v>78.59</v>
      </c>
    </row>
    <row r="109" customFormat="false" ht="15" hidden="false" customHeight="false" outlineLevel="0" collapsed="false">
      <c r="A109" s="7" t="s">
        <v>283</v>
      </c>
      <c r="B109" s="8"/>
      <c r="C109" s="8"/>
      <c r="D109" s="8"/>
      <c r="E109" s="8"/>
      <c r="F109" s="8"/>
      <c r="G109" s="8"/>
      <c r="H109" s="9" t="n">
        <f aca="false">SUM(H106:H108)</f>
        <v>167.86</v>
      </c>
      <c r="I109" s="8"/>
      <c r="J109" s="8"/>
      <c r="K109" s="8"/>
    </row>
    <row r="110" customFormat="false" ht="28.35" hidden="false" customHeight="false" outlineLevel="0" collapsed="false">
      <c r="A110" s="45" t="s">
        <v>284</v>
      </c>
      <c r="B110" s="46" t="s">
        <v>285</v>
      </c>
      <c r="C110" s="47"/>
      <c r="D110" s="47"/>
      <c r="E110" s="47"/>
      <c r="F110" s="47"/>
      <c r="G110" s="47"/>
      <c r="H110" s="48" t="n">
        <f aca="false">IF(K78="Yes",H103+H109,0)</f>
        <v>539.975</v>
      </c>
      <c r="I110" s="47"/>
      <c r="J110" s="47"/>
      <c r="K110" s="47"/>
    </row>
    <row r="112" customFormat="false" ht="21.75" hidden="false" customHeight="true" outlineLevel="0" collapsed="false">
      <c r="A112" s="49" t="s">
        <v>286</v>
      </c>
      <c r="B112" s="50"/>
      <c r="C112" s="50"/>
      <c r="D112" s="50"/>
      <c r="E112" s="50"/>
      <c r="F112" s="50"/>
      <c r="G112" s="50"/>
      <c r="H112" s="50"/>
      <c r="I112" s="50"/>
      <c r="J112" s="50"/>
      <c r="K112" s="50"/>
    </row>
    <row r="113" customFormat="false" ht="19.5" hidden="false" customHeight="true" outlineLevel="0" collapsed="false">
      <c r="A113" s="51" t="s">
        <v>2</v>
      </c>
      <c r="B113" s="51" t="s">
        <v>75</v>
      </c>
      <c r="C113" s="51" t="s">
        <v>67</v>
      </c>
      <c r="D113" s="51" t="s">
        <v>76</v>
      </c>
      <c r="E113" s="51" t="s">
        <v>77</v>
      </c>
      <c r="F113" s="51" t="s">
        <v>3</v>
      </c>
      <c r="G113" s="51" t="s">
        <v>78</v>
      </c>
      <c r="H113" s="51" t="s">
        <v>79</v>
      </c>
      <c r="I113" s="51" t="s">
        <v>69</v>
      </c>
      <c r="J113" s="51" t="s">
        <v>80</v>
      </c>
      <c r="K113" s="51" t="s">
        <v>287</v>
      </c>
    </row>
    <row r="114" customFormat="false" ht="28.35" hidden="false" customHeight="false" outlineLevel="0" collapsed="false">
      <c r="A114" s="27" t="s">
        <v>288</v>
      </c>
      <c r="B114" s="27" t="s">
        <v>289</v>
      </c>
      <c r="C114" s="27" t="s">
        <v>290</v>
      </c>
      <c r="D114" s="28" t="s">
        <v>291</v>
      </c>
      <c r="E114" s="27" t="s">
        <v>292</v>
      </c>
      <c r="F114" s="28" t="n">
        <v>1</v>
      </c>
      <c r="G114" s="29" t="n">
        <v>277.2</v>
      </c>
      <c r="H114" s="29" t="n">
        <f aca="false">IF(OR(K114="Yes",K114=TRUE()),0,F114*G114)</f>
        <v>277.2</v>
      </c>
      <c r="I114" s="28" t="s">
        <v>94</v>
      </c>
      <c r="J114" s="30" t="str">
        <f aca="false">HYPERLINK("https://store.bruker.com/products/dpt10","Open")</f>
        <v>Open</v>
      </c>
      <c r="K114" s="52"/>
    </row>
    <row r="115" customFormat="false" ht="28.35" hidden="false" customHeight="false" outlineLevel="0" collapsed="false">
      <c r="A115" s="27" t="s">
        <v>293</v>
      </c>
      <c r="B115" s="27" t="s">
        <v>294</v>
      </c>
      <c r="C115" s="27" t="s">
        <v>295</v>
      </c>
      <c r="D115" s="28" t="s">
        <v>296</v>
      </c>
      <c r="E115" s="27" t="s">
        <v>297</v>
      </c>
      <c r="F115" s="28" t="n">
        <v>1</v>
      </c>
      <c r="G115" s="29" t="n">
        <v>77</v>
      </c>
      <c r="H115" s="29" t="n">
        <f aca="false">IF(OR(K115="Yes",K115=TRUE()),0,F115*G115)</f>
        <v>77</v>
      </c>
      <c r="I115" s="28" t="s">
        <v>94</v>
      </c>
      <c r="J115" s="30" t="str">
        <f aca="false">HYPERLINK("https://www.nanoandmore.com/AFM-Accessories-HOPG-ZYH","Open")</f>
        <v>Open</v>
      </c>
      <c r="K115" s="52"/>
    </row>
    <row r="116" customFormat="false" ht="28.35" hidden="false" customHeight="false" outlineLevel="0" collapsed="false">
      <c r="A116" s="27" t="s">
        <v>298</v>
      </c>
      <c r="B116" s="27" t="s">
        <v>299</v>
      </c>
      <c r="C116" s="27" t="s">
        <v>300</v>
      </c>
      <c r="D116" s="28" t="s">
        <v>301</v>
      </c>
      <c r="E116" s="27" t="s">
        <v>302</v>
      </c>
      <c r="F116" s="28" t="n">
        <v>1</v>
      </c>
      <c r="G116" s="29" t="n">
        <v>133.13</v>
      </c>
      <c r="H116" s="29" t="n">
        <f aca="false">IF(OR(K116="Yes",K116=TRUE()),0,F116*G116)</f>
        <v>133.13</v>
      </c>
      <c r="I116" s="28" t="s">
        <v>94</v>
      </c>
      <c r="J116" s="30" t="str">
        <f aca="false">HYPERLINK("https://octopart.com/search?q=8331D-14G","Open")</f>
        <v>Open</v>
      </c>
      <c r="K116" s="52"/>
    </row>
    <row r="117" customFormat="false" ht="28.35" hidden="false" customHeight="false" outlineLevel="0" collapsed="false">
      <c r="A117" s="27" t="s">
        <v>303</v>
      </c>
      <c r="B117" s="27" t="s">
        <v>304</v>
      </c>
      <c r="C117" s="27" t="s">
        <v>305</v>
      </c>
      <c r="D117" s="28" t="s">
        <v>306</v>
      </c>
      <c r="E117" s="27" t="s">
        <v>307</v>
      </c>
      <c r="F117" s="28" t="n">
        <v>1</v>
      </c>
      <c r="G117" s="29" t="n">
        <v>75.15</v>
      </c>
      <c r="H117" s="29" t="n">
        <f aca="false">IF(OR(K117="Yes",K117=TRUE()),0,F117*G117)</f>
        <v>75.15</v>
      </c>
      <c r="I117" s="28" t="s">
        <v>94</v>
      </c>
      <c r="J117" s="30" t="str">
        <f aca="false">HYPERLINK("https://www.penntoolco.com/grizzly-9-x-12-x-2-granite-surface-plate-no-ledge-g9649/","Open")</f>
        <v>Open</v>
      </c>
      <c r="K117" s="52"/>
    </row>
    <row r="118" customFormat="false" ht="28.35" hidden="false" customHeight="false" outlineLevel="0" collapsed="false">
      <c r="A118" s="27" t="s">
        <v>39</v>
      </c>
      <c r="B118" s="27" t="s">
        <v>308</v>
      </c>
      <c r="C118" s="27" t="s">
        <v>309</v>
      </c>
      <c r="D118" s="28" t="s">
        <v>85</v>
      </c>
      <c r="E118" s="27" t="s">
        <v>310</v>
      </c>
      <c r="F118" s="28" t="n">
        <v>1</v>
      </c>
      <c r="G118" s="29" t="n">
        <v>57.99</v>
      </c>
      <c r="H118" s="29" t="n">
        <f aca="false">IF(OR(K118="Yes",K118=TRUE()),0,F118*G118)</f>
        <v>57.99</v>
      </c>
      <c r="I118" s="28" t="s">
        <v>94</v>
      </c>
      <c r="J118" s="30" t="str">
        <f aca="false">HYPERLINK("https://www.amazon.com/s?k=FNIRSI+DST-201+oscilloscope+multimeter","Open")</f>
        <v>Open</v>
      </c>
      <c r="K118" s="52"/>
    </row>
    <row r="119" customFormat="false" ht="41.75" hidden="false" customHeight="false" outlineLevel="0" collapsed="false">
      <c r="A119" s="27" t="s">
        <v>311</v>
      </c>
      <c r="B119" s="27" t="s">
        <v>312</v>
      </c>
      <c r="C119" s="27" t="s">
        <v>313</v>
      </c>
      <c r="D119" s="28" t="s">
        <v>85</v>
      </c>
      <c r="E119" s="27" t="s">
        <v>314</v>
      </c>
      <c r="F119" s="28" t="n">
        <v>1</v>
      </c>
      <c r="G119" s="29" t="n">
        <v>40</v>
      </c>
      <c r="H119" s="29" t="n">
        <f aca="false">IF(OR(K119="Yes",K119=TRUE(),K78&lt;&gt;"Yes"),0,F119*G119)</f>
        <v>40</v>
      </c>
      <c r="I119" s="31" t="s">
        <v>165</v>
      </c>
      <c r="J119" s="30" t="str">
        <f aca="false">HYPERLINK("https://www.amazon.com/s?k=handheld+LCR+meter","Open")</f>
        <v>Open</v>
      </c>
      <c r="K119" s="52"/>
    </row>
    <row r="120" customFormat="false" ht="55.2" hidden="false" customHeight="false" outlineLevel="0" collapsed="false">
      <c r="A120" s="27" t="s">
        <v>315</v>
      </c>
      <c r="B120" s="27" t="s">
        <v>316</v>
      </c>
      <c r="C120" s="27" t="s">
        <v>317</v>
      </c>
      <c r="D120" s="28" t="s">
        <v>85</v>
      </c>
      <c r="E120" s="27" t="s">
        <v>318</v>
      </c>
      <c r="F120" s="28" t="n">
        <v>1</v>
      </c>
      <c r="G120" s="29" t="n">
        <v>60</v>
      </c>
      <c r="H120" s="29" t="n">
        <f aca="false">IF(OR(K120="Yes",K120=TRUE()),0,F120*G120)</f>
        <v>60</v>
      </c>
      <c r="I120" s="31" t="s">
        <v>165</v>
      </c>
      <c r="J120" s="30" t="str">
        <f aca="false">HYPERLINK("https://www.amazon.com/s?k=Michelson+interferometer+kit+beamsplitter+cube+laser+diode","Open")</f>
        <v>Open</v>
      </c>
      <c r="K120" s="52"/>
    </row>
    <row r="121" customFormat="false" ht="15" hidden="false" customHeight="false" outlineLevel="0" collapsed="false">
      <c r="A121" s="27" t="s">
        <v>319</v>
      </c>
      <c r="B121" s="27" t="s">
        <v>320</v>
      </c>
      <c r="C121" s="27" t="s">
        <v>309</v>
      </c>
      <c r="D121" s="28" t="s">
        <v>321</v>
      </c>
      <c r="E121" s="27" t="s">
        <v>322</v>
      </c>
      <c r="F121" s="28" t="n">
        <v>1</v>
      </c>
      <c r="G121" s="29" t="n">
        <v>25.99</v>
      </c>
      <c r="H121" s="29" t="n">
        <f aca="false">IF(OR(K121="Yes",K121=TRUE()),0,F121*G121)</f>
        <v>25.99</v>
      </c>
      <c r="I121" s="28" t="s">
        <v>94</v>
      </c>
      <c r="J121" s="30" t="str">
        <f aca="false">HYPERLINK("https://pine64.com/?p=158078","Open")</f>
        <v>Open</v>
      </c>
      <c r="K121" s="52"/>
    </row>
    <row r="122" customFormat="false" ht="15" hidden="false" customHeight="false" outlineLevel="0" collapsed="false">
      <c r="A122" s="27" t="s">
        <v>323</v>
      </c>
      <c r="B122" s="27" t="s">
        <v>324</v>
      </c>
      <c r="C122" s="27" t="s">
        <v>309</v>
      </c>
      <c r="D122" s="28" t="s">
        <v>85</v>
      </c>
      <c r="E122" s="27" t="s">
        <v>325</v>
      </c>
      <c r="F122" s="28" t="n">
        <v>1</v>
      </c>
      <c r="G122" s="29" t="n">
        <v>24.97</v>
      </c>
      <c r="H122" s="29" t="n">
        <f aca="false">IF(OR(K122="Yes",K122=TRUE()),0,F122*G122)</f>
        <v>24.97</v>
      </c>
      <c r="I122" s="28" t="s">
        <v>87</v>
      </c>
      <c r="J122" s="30" t="str">
        <f aca="false">HYPERLINK("https://www.amazon.com/s?k=Sn42Bi58+solder+paste","Open")</f>
        <v>Open</v>
      </c>
      <c r="K122" s="52"/>
    </row>
    <row r="123" customFormat="false" ht="28.35" hidden="false" customHeight="false" outlineLevel="0" collapsed="false">
      <c r="A123" s="27" t="s">
        <v>326</v>
      </c>
      <c r="B123" s="27" t="s">
        <v>327</v>
      </c>
      <c r="C123" s="27" t="s">
        <v>309</v>
      </c>
      <c r="D123" s="28" t="s">
        <v>85</v>
      </c>
      <c r="E123" s="27" t="s">
        <v>325</v>
      </c>
      <c r="F123" s="28" t="n">
        <v>1</v>
      </c>
      <c r="G123" s="29" t="n">
        <v>11.99</v>
      </c>
      <c r="H123" s="29" t="n">
        <f aca="false">IF(OR(K123="Yes",K123=TRUE()),0,F123*G123)</f>
        <v>11.99</v>
      </c>
      <c r="I123" s="28" t="s">
        <v>87</v>
      </c>
      <c r="J123" s="30" t="str">
        <f aca="false">HYPERLINK("https://www.amazon.com/s?k=heat+shrink+tubing+kit","Open")</f>
        <v>Open</v>
      </c>
      <c r="K123" s="52"/>
    </row>
    <row r="124" customFormat="false" ht="28.35" hidden="false" customHeight="false" outlineLevel="0" collapsed="false">
      <c r="A124" s="27" t="s">
        <v>328</v>
      </c>
      <c r="B124" s="27" t="s">
        <v>329</v>
      </c>
      <c r="C124" s="27" t="s">
        <v>309</v>
      </c>
      <c r="D124" s="28" t="s">
        <v>85</v>
      </c>
      <c r="E124" s="27" t="s">
        <v>325</v>
      </c>
      <c r="F124" s="28" t="n">
        <v>1</v>
      </c>
      <c r="G124" s="29" t="n">
        <v>25.26</v>
      </c>
      <c r="H124" s="29" t="n">
        <f aca="false">IF(OR(K124="Yes",K124=TRUE()),0,F124*G124)</f>
        <v>25.26</v>
      </c>
      <c r="I124" s="28" t="s">
        <v>87</v>
      </c>
      <c r="J124" s="30" t="str">
        <f aca="false">HYPERLINK("https://www.amazon.com/s?k=RG178+coax+cable","Open")</f>
        <v>Open</v>
      </c>
      <c r="K124" s="52"/>
    </row>
    <row r="125" customFormat="false" ht="28.35" hidden="false" customHeight="false" outlineLevel="0" collapsed="false">
      <c r="A125" s="27" t="s">
        <v>330</v>
      </c>
      <c r="B125" s="27" t="s">
        <v>331</v>
      </c>
      <c r="C125" s="27" t="s">
        <v>309</v>
      </c>
      <c r="D125" s="28" t="s">
        <v>85</v>
      </c>
      <c r="E125" s="27" t="s">
        <v>325</v>
      </c>
      <c r="F125" s="28" t="n">
        <v>1</v>
      </c>
      <c r="G125" s="29" t="n">
        <v>32.12</v>
      </c>
      <c r="H125" s="29" t="n">
        <f aca="false">IF(OR(K125="Yes",K125=TRUE()),0,F125*G125)</f>
        <v>32.12</v>
      </c>
      <c r="I125" s="28" t="s">
        <v>87</v>
      </c>
      <c r="J125" s="30" t="str">
        <f aca="false">HYPERLINK("https://www.amazon.com/s?k=2x13+IDC+ribbon+cable","Open")</f>
        <v>Open</v>
      </c>
      <c r="K125" s="52"/>
    </row>
    <row r="126" customFormat="false" ht="15" hidden="false" customHeight="false" outlineLevel="0" collapsed="false">
      <c r="A126" s="27" t="s">
        <v>332</v>
      </c>
      <c r="B126" s="27" t="s">
        <v>333</v>
      </c>
      <c r="C126" s="27" t="s">
        <v>309</v>
      </c>
      <c r="D126" s="28" t="s">
        <v>85</v>
      </c>
      <c r="E126" s="27" t="s">
        <v>325</v>
      </c>
      <c r="F126" s="28" t="n">
        <v>1</v>
      </c>
      <c r="G126" s="29" t="n">
        <v>16.98</v>
      </c>
      <c r="H126" s="29" t="n">
        <f aca="false">IF(OR(K126="Yes",K126=TRUE()),0,F126*G126)</f>
        <v>16.98</v>
      </c>
      <c r="I126" s="28" t="s">
        <v>87</v>
      </c>
      <c r="J126" s="30" t="str">
        <f aca="false">HYPERLINK("https://www.amazon.com/s?k=pin+header+kit","Open")</f>
        <v>Open</v>
      </c>
      <c r="K126" s="52"/>
    </row>
    <row r="127" customFormat="false" ht="15" hidden="false" customHeight="false" outlineLevel="0" collapsed="false">
      <c r="A127" s="27" t="s">
        <v>334</v>
      </c>
      <c r="B127" s="27" t="s">
        <v>335</v>
      </c>
      <c r="C127" s="27" t="s">
        <v>309</v>
      </c>
      <c r="D127" s="28" t="s">
        <v>85</v>
      </c>
      <c r="E127" s="27" t="s">
        <v>325</v>
      </c>
      <c r="F127" s="28" t="n">
        <v>1</v>
      </c>
      <c r="G127" s="29" t="n">
        <v>22.31</v>
      </c>
      <c r="H127" s="29" t="n">
        <f aca="false">IF(OR(K127="Yes",K127=TRUE()),0,F127*G127)</f>
        <v>22.31</v>
      </c>
      <c r="I127" s="28" t="s">
        <v>87</v>
      </c>
      <c r="J127" s="30" t="str">
        <f aca="false">HYPERLINK("https://www.amazon.com/s?k=M2+M2.5+M3+screw+kit","Open")</f>
        <v>Open</v>
      </c>
      <c r="K127" s="52"/>
    </row>
    <row r="128" customFormat="false" ht="28.35" hidden="false" customHeight="false" outlineLevel="0" collapsed="false">
      <c r="A128" s="27" t="s">
        <v>336</v>
      </c>
      <c r="B128" s="27" t="s">
        <v>337</v>
      </c>
      <c r="C128" s="27" t="s">
        <v>309</v>
      </c>
      <c r="D128" s="28" t="s">
        <v>85</v>
      </c>
      <c r="E128" s="27" t="s">
        <v>325</v>
      </c>
      <c r="F128" s="28" t="n">
        <v>1</v>
      </c>
      <c r="G128" s="29" t="n">
        <v>12.17</v>
      </c>
      <c r="H128" s="29" t="n">
        <f aca="false">IF(OR(K128="Yes",K128=TRUE()),0,F128*G128)</f>
        <v>12.17</v>
      </c>
      <c r="I128" s="28" t="s">
        <v>87</v>
      </c>
      <c r="J128" s="30" t="str">
        <f aca="false">HYPERLINK("https://www.amazon.com/s?k=precision+tweezers+set","Open")</f>
        <v>Open</v>
      </c>
      <c r="K128" s="52"/>
    </row>
    <row r="129" customFormat="false" ht="15" hidden="false" customHeight="false" outlineLevel="0" collapsed="false">
      <c r="A129" s="53" t="s">
        <v>338</v>
      </c>
      <c r="B129" s="54"/>
      <c r="C129" s="54"/>
      <c r="D129" s="54"/>
      <c r="E129" s="54"/>
      <c r="F129" s="54"/>
      <c r="G129" s="54"/>
      <c r="H129" s="55" t="n">
        <f aca="false">SUM(H114:H128)</f>
        <v>892.26</v>
      </c>
      <c r="I129" s="54"/>
      <c r="J129" s="54"/>
      <c r="K129" s="54"/>
    </row>
    <row r="131" customFormat="false" ht="21.75" hidden="false" customHeight="true" outlineLevel="0" collapsed="false">
      <c r="A131" s="3" t="s">
        <v>339</v>
      </c>
      <c r="B131" s="15"/>
      <c r="C131" s="15"/>
      <c r="D131" s="15"/>
      <c r="E131" s="15"/>
      <c r="F131" s="15"/>
      <c r="G131" s="15"/>
      <c r="H131" s="15"/>
      <c r="I131" s="15"/>
      <c r="J131" s="15"/>
      <c r="K131" s="15"/>
    </row>
    <row r="132" customFormat="false" ht="28.35" hidden="false" customHeight="false" outlineLevel="0" collapsed="false">
      <c r="A132" s="56" t="s">
        <v>340</v>
      </c>
      <c r="B132" s="57" t="s">
        <v>341</v>
      </c>
      <c r="C132" s="58"/>
      <c r="D132" s="58"/>
      <c r="E132" s="58"/>
      <c r="F132" s="58"/>
      <c r="G132" s="58"/>
      <c r="H132" s="59" t="n">
        <f aca="false">H67+IF((K78="Yes"),H103,0)+H129</f>
        <v>2114.035</v>
      </c>
      <c r="I132" s="58"/>
      <c r="J132" s="58"/>
      <c r="K132" s="58"/>
    </row>
    <row r="133" customFormat="false" ht="15" hidden="false" customHeight="false" outlineLevel="0" collapsed="false">
      <c r="A133" s="56" t="s">
        <v>196</v>
      </c>
      <c r="B133" s="57"/>
      <c r="C133" s="58"/>
      <c r="D133" s="58"/>
      <c r="E133" s="58"/>
      <c r="F133" s="58"/>
      <c r="G133" s="58"/>
      <c r="H133" s="59" t="n">
        <f aca="false">H73+IF((K78="Yes"),H109,0)</f>
        <v>449.74</v>
      </c>
      <c r="I133" s="58"/>
      <c r="J133" s="58"/>
      <c r="K133" s="58"/>
    </row>
    <row r="134" customFormat="false" ht="15" hidden="false" customHeight="false" outlineLevel="0" collapsed="false">
      <c r="A134" s="56" t="s">
        <v>342</v>
      </c>
      <c r="B134" s="57" t="s">
        <v>343</v>
      </c>
      <c r="C134" s="58"/>
      <c r="D134" s="58"/>
      <c r="E134" s="58"/>
      <c r="F134" s="58"/>
      <c r="G134" s="58"/>
      <c r="H134" s="59" t="n">
        <f aca="false">ROUND(H132*0.0775,2)</f>
        <v>163.84</v>
      </c>
      <c r="I134" s="58"/>
      <c r="J134" s="58"/>
      <c r="K134" s="58"/>
    </row>
    <row r="135" customFormat="false" ht="15" hidden="false" customHeight="false" outlineLevel="0" collapsed="false">
      <c r="A135" s="56" t="s">
        <v>344</v>
      </c>
      <c r="B135" s="57" t="s">
        <v>345</v>
      </c>
      <c r="C135" s="58"/>
      <c r="D135" s="58"/>
      <c r="E135" s="58"/>
      <c r="F135" s="58"/>
      <c r="G135" s="58"/>
      <c r="H135" s="59" t="n">
        <f aca="false">ROUND((H132+H133+H134)*0.1,2)</f>
        <v>272.76</v>
      </c>
      <c r="I135" s="58"/>
      <c r="J135" s="58"/>
      <c r="K135" s="58"/>
    </row>
    <row r="136" customFormat="false" ht="15" hidden="false" customHeight="false" outlineLevel="0" collapsed="false">
      <c r="A136" s="11" t="s">
        <v>346</v>
      </c>
      <c r="B136" s="60"/>
      <c r="C136" s="12"/>
      <c r="D136" s="12"/>
      <c r="E136" s="12"/>
      <c r="F136" s="12"/>
      <c r="G136" s="12"/>
      <c r="H136" s="13" t="n">
        <f aca="false">H132+H133+H134+H135</f>
        <v>3000.375</v>
      </c>
      <c r="I136" s="12"/>
      <c r="J136" s="12"/>
      <c r="K136" s="12"/>
    </row>
    <row r="137" customFormat="false" ht="15" hidden="false" customHeight="false" outlineLevel="0" collapsed="false">
      <c r="A137" s="56" t="s">
        <v>347</v>
      </c>
      <c r="B137" s="57" t="s">
        <v>348</v>
      </c>
      <c r="C137" s="58"/>
      <c r="D137" s="58"/>
      <c r="E137" s="58"/>
      <c r="F137" s="58"/>
      <c r="G137" s="58"/>
      <c r="H137" s="59" t="n">
        <f aca="false">2000-H136</f>
        <v>-1000.375</v>
      </c>
      <c r="I137" s="58"/>
      <c r="J137" s="58"/>
      <c r="K137" s="58"/>
    </row>
    <row r="139" customFormat="false" ht="15" hidden="false" customHeight="false" outlineLevel="0" collapsed="false">
      <c r="A139" s="61" t="s">
        <v>349</v>
      </c>
    </row>
    <row r="140" customFormat="false" ht="15" hidden="false" customHeight="false" outlineLevel="0" collapsed="false">
      <c r="A140" s="3" t="s">
        <v>350</v>
      </c>
      <c r="B140" s="15"/>
      <c r="C140" s="3" t="s">
        <v>340</v>
      </c>
      <c r="D140" s="3" t="s">
        <v>351</v>
      </c>
      <c r="E140" s="62" t="s">
        <v>352</v>
      </c>
      <c r="F140" s="62"/>
      <c r="G140" s="3" t="s">
        <v>353</v>
      </c>
      <c r="H140" s="3" t="s">
        <v>79</v>
      </c>
      <c r="I140" s="15"/>
      <c r="J140" s="15"/>
      <c r="K140" s="15"/>
    </row>
    <row r="141" customFormat="false" ht="15" hidden="false" customHeight="false" outlineLevel="0" collapsed="false">
      <c r="A141" s="63" t="s">
        <v>354</v>
      </c>
      <c r="B141" s="63"/>
      <c r="C141" s="6" t="n">
        <f aca="false">H67+SUMPRODUCT(F114:F128,G114:G128)-F119*G119</f>
        <v>1701.92</v>
      </c>
      <c r="D141" s="6" t="n">
        <f aca="false">H73</f>
        <v>281.88</v>
      </c>
      <c r="E141" s="64" t="n">
        <f aca="false">ROUND(C141*0.0775,2)</f>
        <v>131.9</v>
      </c>
      <c r="F141" s="64"/>
      <c r="G141" s="6" t="n">
        <f aca="false">ROUND((C141+D141+E141)*0.1,2)</f>
        <v>211.57</v>
      </c>
      <c r="H141" s="65" t="n">
        <f aca="false">C141+D141+E141+G141</f>
        <v>2327.27</v>
      </c>
    </row>
    <row r="142" customFormat="false" ht="15" hidden="false" customHeight="false" outlineLevel="0" collapsed="false">
      <c r="A142" s="63" t="s">
        <v>355</v>
      </c>
      <c r="B142" s="63"/>
      <c r="C142" s="6" t="n">
        <f aca="false">H67</f>
        <v>849.66</v>
      </c>
      <c r="D142" s="6" t="n">
        <f aca="false">H73</f>
        <v>281.88</v>
      </c>
      <c r="E142" s="64" t="n">
        <f aca="false">ROUND(C142*0.0775,2)</f>
        <v>65.85</v>
      </c>
      <c r="F142" s="64"/>
      <c r="G142" s="6" t="n">
        <f aca="false">ROUND((C142+D142+E142)*0.1,2)</f>
        <v>119.74</v>
      </c>
      <c r="H142" s="65" t="n">
        <f aca="false">C142+D142+E142+G142</f>
        <v>1317.13</v>
      </c>
    </row>
    <row r="143" customFormat="false" ht="15" hidden="false" customHeight="false" outlineLevel="0" collapsed="false">
      <c r="A143" s="63" t="s">
        <v>356</v>
      </c>
      <c r="B143" s="63"/>
      <c r="C143" s="6" t="n">
        <f aca="false">H67+H103+SUMPRODUCT(F114:F128,G114:G128)</f>
        <v>2114.035</v>
      </c>
      <c r="D143" s="6" t="n">
        <f aca="false">H73+H109</f>
        <v>449.74</v>
      </c>
      <c r="E143" s="64" t="n">
        <f aca="false">ROUND(C143*0.0775,2)</f>
        <v>163.84</v>
      </c>
      <c r="F143" s="64"/>
      <c r="G143" s="6" t="n">
        <f aca="false">ROUND((C143+D143+E143)*0.1,2)</f>
        <v>272.76</v>
      </c>
      <c r="H143" s="65" t="n">
        <f aca="false">C143+D143+E143+G143</f>
        <v>3000.375</v>
      </c>
    </row>
    <row r="144" customFormat="false" ht="15" hidden="false" customHeight="false" outlineLevel="0" collapsed="false">
      <c r="A144" s="63" t="s">
        <v>357</v>
      </c>
      <c r="B144" s="63"/>
      <c r="C144" s="6" t="n">
        <f aca="false">H67+H103</f>
        <v>1221.775</v>
      </c>
      <c r="D144" s="6" t="n">
        <f aca="false">H73+H109</f>
        <v>449.74</v>
      </c>
      <c r="E144" s="64" t="n">
        <f aca="false">ROUND(C144*0.0775,2)</f>
        <v>94.69</v>
      </c>
      <c r="F144" s="64"/>
      <c r="G144" s="6" t="n">
        <f aca="false">ROUND((C144+D144+E144)*0.1,2)</f>
        <v>176.62</v>
      </c>
      <c r="H144" s="65" t="n">
        <f aca="false">C144+D144+E144+G144</f>
        <v>1942.825</v>
      </c>
    </row>
    <row r="145" customFormat="false" ht="15" hidden="false" customHeight="true" outlineLevel="0" collapsed="false">
      <c r="A145" s="35" t="s">
        <v>358</v>
      </c>
      <c r="B145" s="35"/>
      <c r="C145" s="35"/>
      <c r="D145" s="35"/>
      <c r="E145" s="35"/>
      <c r="F145" s="35"/>
      <c r="G145" s="35"/>
      <c r="H145" s="35"/>
      <c r="I145" s="35"/>
      <c r="J145" s="35"/>
      <c r="K145" s="35"/>
    </row>
  </sheetData>
  <mergeCells count="35">
    <mergeCell ref="D5:E5"/>
    <mergeCell ref="A6:B6"/>
    <mergeCell ref="D6:E6"/>
    <mergeCell ref="A7:B7"/>
    <mergeCell ref="D7:E7"/>
    <mergeCell ref="A8:B8"/>
    <mergeCell ref="D8:E8"/>
    <mergeCell ref="A9:B9"/>
    <mergeCell ref="D9:E9"/>
    <mergeCell ref="B12:K12"/>
    <mergeCell ref="B13:K13"/>
    <mergeCell ref="B14:K14"/>
    <mergeCell ref="B15:K15"/>
    <mergeCell ref="B16:K16"/>
    <mergeCell ref="B17:K17"/>
    <mergeCell ref="B18:K18"/>
    <mergeCell ref="B19:K19"/>
    <mergeCell ref="B70:E70"/>
    <mergeCell ref="B71:E71"/>
    <mergeCell ref="B72:E72"/>
    <mergeCell ref="B74:K74"/>
    <mergeCell ref="A77:K77"/>
    <mergeCell ref="B106:E106"/>
    <mergeCell ref="B107:E107"/>
    <mergeCell ref="B108:E108"/>
    <mergeCell ref="E140:F140"/>
    <mergeCell ref="A141:B141"/>
    <mergeCell ref="E141:F141"/>
    <mergeCell ref="A142:B142"/>
    <mergeCell ref="E142:F142"/>
    <mergeCell ref="A143:B143"/>
    <mergeCell ref="E143:F143"/>
    <mergeCell ref="A144:B144"/>
    <mergeCell ref="E144:F144"/>
    <mergeCell ref="A145:K145"/>
  </mergeCells>
  <dataValidations count="3">
    <dataValidation allowBlank="false" errorStyle="stop" operator="between" showDropDown="false" showErrorMessage="false" showInputMessage="false" sqref="K78" type="list">
      <formula1>"Yes,No"</formula1>
      <formula2>0</formula2>
    </dataValidation>
    <dataValidation allowBlank="false" errorStyle="stop" operator="between" showDropDown="false" showErrorMessage="false" showInputMessage="false" sqref="K101:K102" type="list">
      <formula1>"Yes,No"</formula1>
      <formula2>0</formula2>
    </dataValidation>
    <dataValidation allowBlank="true" errorStyle="stop" operator="between" showDropDown="false" showErrorMessage="false" showInputMessage="false" sqref="K114:K128"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2026-10-21T22:09:39Z</dcterms:created>
  <dc:creator>openpyxl</dc:creator>
  <dc:description/>
  <dc:language>en-US</dc:language>
  <cp:lastModifiedBy/>
  <dcterms:modified xsi:type="dcterms:W3CDTF">2026-10-21T22:09:39Z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