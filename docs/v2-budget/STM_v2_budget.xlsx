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v1 (what it cost)" sheetId="1" state="visible" r:id="rId1"/>
    <sheet xmlns:r="http://schemas.openxmlformats.org/officeDocument/2006/relationships" name="v2 budget" sheetId="2" state="visible" r:id="rId2"/>
  </sheets>
  <definedNames>
    <definedName name="_xlnm.Print_Titles" localSheetId="1">'v2 budget'!$10:$10</definedName>
  </definedNames>
  <calcPr calcId="124519" fullCalcOnLoad="1"/>
</workbook>
</file>

<file path=xl/styles.xml><?xml version="1.0" encoding="utf-8"?>
<styleSheet xmlns="http://schemas.openxmlformats.org/spreadsheetml/2006/main">
  <numFmts count="1">
    <numFmt numFmtId="164" formatCode="&quot;$&quot;#,##0.00"/>
  </numFmts>
  <fonts count="9">
    <font>
      <name val="Calibri"/>
      <family val="2"/>
      <color theme="1"/>
      <sz val="11"/>
      <scheme val="minor"/>
    </font>
    <font>
      <b val="1"/>
      <color rgb="001F3864"/>
      <sz val="16"/>
    </font>
    <font>
      <i val="1"/>
      <color rgb="00595959"/>
    </font>
    <font>
      <b val="1"/>
      <color rgb="00FFFFFF"/>
    </font>
    <font>
      <b val="1"/>
    </font>
    <font>
      <color rgb="000563C1"/>
      <u val="single"/>
    </font>
    <font>
      <b val="1"/>
      <sz val="11"/>
    </font>
    <font>
      <b val="1"/>
      <sz val="12"/>
    </font>
    <font>
      <b val="1"/>
      <color rgb="001F3864"/>
      <sz val="12"/>
    </font>
  </fonts>
  <fills count="9">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548235"/>
      </patternFill>
    </fill>
    <fill>
      <patternFill patternType="solid">
        <fgColor rgb="00E2EFDA"/>
      </patternFill>
    </fill>
    <fill>
      <patternFill patternType="solid">
        <fgColor rgb="00FFF2CC"/>
      </patternFill>
    </fill>
    <fill>
      <patternFill patternType="solid">
        <fgColor rgb="00FFD966"/>
      </patternFill>
    </fill>
  </fills>
  <borders count="2">
    <border>
      <left/>
      <right/>
      <top/>
      <bottom/>
      <diagonal/>
    </border>
    <border>
      <top style="thin">
        <color rgb="00808080"/>
      </top>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3" borderId="0" pivotButton="0" quotePrefix="0" xfId="0"/>
    <xf numFmtId="0" fontId="0" fillId="3" borderId="0" pivotButton="0" quotePrefix="0" xfId="0"/>
    <xf numFmtId="164" fontId="0" fillId="0" borderId="0" pivotButton="0" quotePrefix="0" xfId="0"/>
    <xf numFmtId="0" fontId="4" fillId="4" borderId="1" pivotButton="0" quotePrefix="0" xfId="0"/>
    <xf numFmtId="0" fontId="0" fillId="4" borderId="1" pivotButton="0" quotePrefix="0" xfId="0"/>
    <xf numFmtId="164" fontId="4" fillId="4" borderId="1" pivotButton="0" quotePrefix="0" xfId="0"/>
    <xf numFmtId="0" fontId="7" fillId="8" borderId="0" pivotButton="0" quotePrefix="0" xfId="0"/>
    <xf numFmtId="0" fontId="0" fillId="8" borderId="0" pivotButton="0" quotePrefix="0" xfId="0"/>
    <xf numFmtId="164" fontId="7" fillId="8" borderId="0" pivotButton="0" quotePrefix="0" xfId="0"/>
    <xf numFmtId="0" fontId="2" fillId="0" borderId="0" applyAlignment="1" pivotButton="0" quotePrefix="0" xfId="0">
      <alignment wrapText="1"/>
    </xf>
    <xf numFmtId="0" fontId="8" fillId="0" borderId="0" pivotButton="0" quotePrefix="0" xfId="0"/>
    <xf numFmtId="164" fontId="7" fillId="8" borderId="0" applyAlignment="1" pivotButton="0" quotePrefix="0" xfId="0">
      <alignment horizontal="left"/>
    </xf>
    <xf numFmtId="0" fontId="6" fillId="7" borderId="0" pivotButton="0" quotePrefix="0" xfId="0"/>
    <xf numFmtId="164" fontId="6" fillId="7" borderId="0" applyAlignment="1" pivotButton="0" quotePrefix="0" xfId="0">
      <alignment horizontal="left"/>
    </xf>
    <xf numFmtId="0" fontId="3"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0" fontId="5" fillId="0" borderId="0" applyAlignment="1" pivotButton="0" quotePrefix="0" xfId="0">
      <alignment vertical="top"/>
    </xf>
    <xf numFmtId="0" fontId="3" fillId="5" borderId="0" pivotButton="0" quotePrefix="0" xfId="0"/>
    <xf numFmtId="0" fontId="0" fillId="5" borderId="0" pivotButton="0" quotePrefix="0" xfId="0"/>
    <xf numFmtId="0" fontId="3" fillId="5" borderId="0" applyAlignment="1" pivotButton="0" quotePrefix="0" xfId="0">
      <alignment vertical="center" wrapText="1"/>
    </xf>
    <xf numFmtId="0" fontId="0" fillId="6" borderId="0" applyAlignment="1" pivotButton="0" quotePrefix="0" xfId="0">
      <alignment horizontal="center" vertical="top"/>
    </xf>
    <xf numFmtId="0" fontId="4" fillId="6" borderId="1" pivotButton="0" quotePrefix="0" xfId="0"/>
    <xf numFmtId="0" fontId="0" fillId="6" borderId="1" pivotButton="0" quotePrefix="0" xfId="0"/>
    <xf numFmtId="164" fontId="4" fillId="6" borderId="1" pivotButton="0" quotePrefix="0" xfId="0"/>
    <xf numFmtId="0" fontId="0" fillId="2" borderId="0" pivotButton="0" quotePrefix="0" xfId="0"/>
    <xf numFmtId="0" fontId="0" fillId="7" borderId="0" applyAlignment="1" pivotButton="0" quotePrefix="0" xfId="0">
      <alignment vertical="top" wrapText="1"/>
    </xf>
    <xf numFmtId="0" fontId="0" fillId="7" borderId="0" pivotButton="0" quotePrefix="0" xfId="0"/>
    <xf numFmtId="164" fontId="6" fillId="7" borderId="0" pivotButton="0" quotePrefix="0" xfId="0"/>
    <xf numFmtId="0" fontId="0" fillId="8" borderId="0" applyAlignment="1" pivotButton="0" quotePrefix="0" xfId="0">
      <alignment vertical="top"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50" customWidth="1" min="1" max="1"/>
    <col width="7" customWidth="1" min="2" max="2"/>
    <col width="13" customWidth="1" min="3" max="3"/>
    <col width="14" customWidth="1" min="4" max="4"/>
  </cols>
  <sheetData>
    <row r="1">
      <c r="A1" s="1" t="inlineStr">
        <is>
          <t>STM v1: what it actually cost</t>
        </is>
      </c>
    </row>
    <row r="2">
      <c r="A2" s="2" t="inlineStr">
        <is>
          <t>From v1's receipts and invoices, June to September 2026, in US dollars.</t>
        </is>
      </c>
    </row>
    <row r="4">
      <c r="A4" s="3" t="inlineStr">
        <is>
          <t>Item</t>
        </is>
      </c>
      <c r="B4" s="3" t="inlineStr">
        <is>
          <t>Qty</t>
        </is>
      </c>
      <c r="C4" s="3" t="inlineStr">
        <is>
          <t>Cost</t>
        </is>
      </c>
      <c r="D4" s="3" t="inlineStr">
        <is>
          <t>Date</t>
        </is>
      </c>
    </row>
    <row r="5">
      <c r="A5" s="4" t="inlineStr">
        <is>
          <t>Circuit boards (JLCPCB, July)</t>
        </is>
      </c>
      <c r="B5" s="5" t="n"/>
      <c r="C5" s="5" t="n"/>
      <c r="D5" s="5" t="n"/>
    </row>
    <row r="6">
      <c r="A6" t="inlineStr">
        <is>
          <t>Main controller boards, assembled</t>
        </is>
      </c>
      <c r="B6" t="n">
        <v>2</v>
      </c>
      <c r="C6" s="6" t="n">
        <v>419.27</v>
      </c>
      <c r="D6" t="inlineStr"/>
    </row>
    <row r="7">
      <c r="A7" t="inlineStr">
        <is>
          <t>Preamp boards, assembled</t>
        </is>
      </c>
      <c r="B7" t="n">
        <v>2</v>
      </c>
      <c r="C7" s="6" t="n">
        <v>60.34</v>
      </c>
      <c r="D7" t="inlineStr"/>
    </row>
    <row r="8">
      <c r="A8" t="inlineStr">
        <is>
          <t>Blank controller boards</t>
        </is>
      </c>
      <c r="B8" t="n">
        <v>3</v>
      </c>
      <c r="C8" s="6" t="n">
        <v>5.04</v>
      </c>
      <c r="D8" t="inlineStr"/>
    </row>
    <row r="9">
      <c r="A9" t="inlineStr">
        <is>
          <t>Blank preamp boards</t>
        </is>
      </c>
      <c r="B9" t="n">
        <v>3</v>
      </c>
      <c r="C9" s="6" t="n">
        <v>2.4</v>
      </c>
      <c r="D9" t="inlineStr"/>
    </row>
    <row r="10">
      <c r="A10" t="inlineStr">
        <is>
          <t>Discount</t>
        </is>
      </c>
      <c r="C10" s="6" t="n">
        <v>-20</v>
      </c>
      <c r="D10" t="inlineStr"/>
    </row>
    <row r="11">
      <c r="A11" t="inlineStr">
        <is>
          <t>Shipping</t>
        </is>
      </c>
      <c r="C11" s="6" t="n">
        <v>50.3</v>
      </c>
      <c r="D11" t="inlineStr"/>
    </row>
    <row r="12">
      <c r="A12" t="inlineStr">
        <is>
          <t>Import tariff</t>
        </is>
      </c>
      <c r="C12" s="6" t="n">
        <v>163.48</v>
      </c>
      <c r="D12" t="inlineStr"/>
    </row>
    <row r="13">
      <c r="A13" t="inlineStr">
        <is>
          <t>Tax</t>
        </is>
      </c>
      <c r="C13" s="6" t="n">
        <v>29.2</v>
      </c>
      <c r="D13" t="inlineStr"/>
    </row>
    <row r="14">
      <c r="A14" s="7" t="inlineStr">
        <is>
          <t>Subtotal</t>
        </is>
      </c>
      <c r="B14" s="8" t="n"/>
      <c r="C14" s="9">
        <f>SUM(C6:C13)</f>
        <v/>
      </c>
      <c r="D14" s="8" t="n"/>
    </row>
    <row r="16">
      <c r="A16" s="4" t="inlineStr">
        <is>
          <t>Adjustment screws (Thorlabs, June)</t>
        </is>
      </c>
      <c r="B16" s="5" t="n"/>
      <c r="C16" s="5" t="n"/>
      <c r="D16" s="5" t="n"/>
    </row>
    <row r="17">
      <c r="A17" t="inlineStr">
        <is>
          <t>Adjustment screws (FAS200)</t>
        </is>
      </c>
      <c r="B17" t="n">
        <v>3</v>
      </c>
      <c r="C17" s="6" t="n">
        <v>26.34</v>
      </c>
      <c r="D17" t="inlineStr"/>
    </row>
    <row r="18">
      <c r="A18" t="inlineStr">
        <is>
          <t>Shipping</t>
        </is>
      </c>
      <c r="C18" s="6" t="n">
        <v>15.26</v>
      </c>
      <c r="D18" t="inlineStr"/>
    </row>
    <row r="19">
      <c r="A19" t="inlineStr">
        <is>
          <t>Tax</t>
        </is>
      </c>
      <c r="C19" s="6" t="n">
        <v>1.65</v>
      </c>
      <c r="D19" t="inlineStr"/>
    </row>
    <row r="20">
      <c r="A20" s="7" t="inlineStr">
        <is>
          <t>Subtotal</t>
        </is>
      </c>
      <c r="B20" s="8" t="n"/>
      <c r="C20" s="9">
        <f>SUM(C17:C19)</f>
        <v/>
      </c>
      <c r="D20" s="8" t="n"/>
    </row>
    <row r="22">
      <c r="A22" s="4" t="inlineStr">
        <is>
          <t>Electronic parts (DigiKey, three orders)</t>
        </is>
      </c>
      <c r="B22" s="5" t="n"/>
      <c r="C22" s="5" t="n"/>
      <c r="D22" s="5" t="n"/>
    </row>
    <row r="23">
      <c r="A23" t="inlineStr">
        <is>
          <t>Op-amp for U21 (LT1469)</t>
        </is>
      </c>
      <c r="B23" t="n">
        <v>2</v>
      </c>
      <c r="C23" s="6" t="n">
        <v>32.7</v>
      </c>
      <c r="D23" t="inlineStr"/>
    </row>
    <row r="24">
      <c r="A24" t="inlineStr">
        <is>
          <t>DB9 connectors</t>
        </is>
      </c>
      <c r="B24" t="n">
        <v>4</v>
      </c>
      <c r="C24" s="6" t="n">
        <v>3.04</v>
      </c>
      <c r="D24" t="inlineStr"/>
    </row>
    <row r="25">
      <c r="A25" t="inlineStr">
        <is>
          <t>Standoffs, wrong size (did not fit)</t>
        </is>
      </c>
      <c r="B25" t="n">
        <v>2</v>
      </c>
      <c r="C25" s="6" t="n">
        <v>5.62</v>
      </c>
      <c r="D25" t="inlineStr"/>
    </row>
    <row r="26">
      <c r="A26" t="inlineStr">
        <is>
          <t>Standoffs, right size</t>
        </is>
      </c>
      <c r="B26" t="n">
        <v>2</v>
      </c>
      <c r="C26" s="6" t="n">
        <v>4.18</v>
      </c>
      <c r="D26" t="inlineStr"/>
    </row>
    <row r="27">
      <c r="A27" t="inlineStr">
        <is>
          <t>Shipping</t>
        </is>
      </c>
      <c r="C27" s="6" t="n">
        <v>25.47</v>
      </c>
      <c r="D27" t="inlineStr"/>
    </row>
    <row r="28">
      <c r="A28" t="inlineStr">
        <is>
          <t>Import tariff</t>
        </is>
      </c>
      <c r="C28" s="6" t="n">
        <v>4.67</v>
      </c>
      <c r="D28" t="inlineStr"/>
    </row>
    <row r="29">
      <c r="A29" t="inlineStr">
        <is>
          <t>Tax</t>
        </is>
      </c>
      <c r="C29" s="6" t="n">
        <v>3.14</v>
      </c>
      <c r="D29" t="inlineStr"/>
    </row>
    <row r="30">
      <c r="A30" s="7" t="inlineStr">
        <is>
          <t>Subtotal</t>
        </is>
      </c>
      <c r="B30" s="8" t="n"/>
      <c r="C30" s="9">
        <f>SUM(C23:C29)</f>
        <v/>
      </c>
      <c r="D30" s="8" t="n"/>
    </row>
    <row r="32">
      <c r="A32" s="4" t="inlineStr">
        <is>
          <t>Amazon (tools, wire, connectors, supplies)</t>
        </is>
      </c>
      <c r="B32" s="5" t="n"/>
      <c r="C32" s="5" t="n"/>
      <c r="D32" s="5" t="n"/>
    </row>
    <row r="33">
      <c r="A33" t="inlineStr">
        <is>
          <t>Amazon purchases, 42 items</t>
        </is>
      </c>
      <c r="C33" s="6" t="n">
        <v>543.83</v>
      </c>
      <c r="D33" t="inlineStr"/>
    </row>
    <row r="34">
      <c r="A34" s="7" t="inlineStr">
        <is>
          <t>Subtotal</t>
        </is>
      </c>
      <c r="B34" s="8" t="n"/>
      <c r="C34" s="9">
        <f>SUM(C33:C33)</f>
        <v/>
      </c>
      <c r="D34" s="8" t="n"/>
    </row>
    <row r="36">
      <c r="A36" s="10" t="inlineStr">
        <is>
          <t>v1 TOTAL</t>
        </is>
      </c>
      <c r="B36" s="11" t="n"/>
      <c r="C36" s="12">
        <f>C14+C20+C30+C34</f>
        <v/>
      </c>
      <c r="D36" s="11" t="n"/>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J83"/>
  <sheetViews>
    <sheetView workbookViewId="0">
      <pane ySplit="10" topLeftCell="A11" activePane="bottomLeft" state="frozen"/>
      <selection pane="bottomLeft" activeCell="A1" sqref="A1"/>
    </sheetView>
  </sheetViews>
  <sheetFormatPr baseColWidth="8" defaultRowHeight="15"/>
  <cols>
    <col width="22" customWidth="1" min="1" max="1"/>
    <col width="48" customWidth="1" min="2" max="2"/>
    <col width="42" customWidth="1" min="3" max="3"/>
    <col width="14" customWidth="1" min="4" max="4"/>
    <col width="18" customWidth="1" min="5" max="5"/>
    <col width="6" customWidth="1" min="6" max="6"/>
    <col width="11" customWidth="1" min="7" max="7"/>
    <col width="12" customWidth="1" min="8" max="8"/>
    <col width="8" customWidth="1" min="9" max="9"/>
    <col width="12" customWidth="1" min="10" max="10"/>
  </cols>
  <sheetData>
    <row r="1">
      <c r="A1" s="1" t="inlineStr">
        <is>
          <t>STM v2 at UCSD: budget</t>
        </is>
      </c>
    </row>
    <row r="2" ht="46" customHeight="1">
      <c r="A2" s="13" t="inlineStr">
        <is>
          <t>What this is: a scanning tunneling microscope (STM) images individual atoms by holding a sharp metal tip a few atoms above a sample and measuring the tiny electric current that flows across the gap. This sheet lists everything needed to build a second one (v2) at UCSD. Prices checked 21 October 2026, in US dollars. Sections 1 to 7 are parts we must buy. Section 8 lists items UCSD labs may already have; with nothing marked, the total assumes we buy all of them, which is why it starts above $2,000.</t>
        </is>
      </c>
    </row>
    <row r="4">
      <c r="A4" s="14" t="inlineStr">
        <is>
          <t>Summary</t>
        </is>
      </c>
    </row>
    <row r="5">
      <c r="A5" s="10" t="inlineStr">
        <is>
          <t>Total request for v2 (updates as section 8 items are marked Yes)</t>
        </is>
      </c>
      <c r="C5" s="15">
        <f>H78</f>
        <v/>
      </c>
    </row>
    <row r="6">
      <c r="A6" s="16" t="inlineStr">
        <is>
          <t>Room left under the $2,000 target</t>
        </is>
      </c>
      <c r="C6" s="17">
        <f>H79</f>
        <v/>
      </c>
    </row>
    <row r="7">
      <c r="A7" s="16" t="inlineStr">
        <is>
          <t>Total if UCSD supplies everything in section 8</t>
        </is>
      </c>
      <c r="C7" s="17">
        <f>H82</f>
        <v/>
      </c>
    </row>
    <row r="8">
      <c r="A8" s="16" t="inlineStr">
        <is>
          <t>What v1 actually cost, for comparison</t>
        </is>
      </c>
      <c r="C8" s="17">
        <f>'v1 (what it cost)'!C36</f>
        <v/>
      </c>
    </row>
    <row r="10" ht="20" customHeight="1">
      <c r="A10" s="18" t="inlineStr">
        <is>
          <t>Item</t>
        </is>
      </c>
      <c r="B10" s="18" t="inlineStr">
        <is>
          <t>What it does</t>
        </is>
      </c>
      <c r="C10" s="18" t="inlineStr">
        <is>
          <t>New in v2? Why</t>
        </is>
      </c>
      <c r="D10" s="18" t="inlineStr">
        <is>
          <t>Vendor</t>
        </is>
      </c>
      <c r="E10" s="18" t="inlineStr">
        <is>
          <t>Part number</t>
        </is>
      </c>
      <c r="F10" s="18" t="inlineStr">
        <is>
          <t>Qty</t>
        </is>
      </c>
      <c r="G10" s="18" t="inlineStr">
        <is>
          <t>Price each</t>
        </is>
      </c>
      <c r="H10" s="18" t="inlineStr">
        <is>
          <t>Total</t>
        </is>
      </c>
      <c r="I10" s="18" t="inlineStr">
        <is>
          <t>Link</t>
        </is>
      </c>
    </row>
    <row r="11" ht="18" customHeight="1">
      <c r="A11" s="4" t="inlineStr">
        <is>
          <t>1. Scanner (moves the tip over the sample)</t>
        </is>
      </c>
      <c r="B11" s="5" t="n"/>
      <c r="C11" s="5" t="n"/>
      <c r="D11" s="5" t="n"/>
      <c r="E11" s="5" t="n"/>
      <c r="F11" s="5" t="n"/>
      <c r="G11" s="5" t="n"/>
      <c r="H11" s="5" t="n"/>
      <c r="I11" s="5" t="n"/>
    </row>
    <row r="12">
      <c r="A12" s="19" t="inlineStr">
        <is>
          <t>Piezo tube</t>
        </is>
      </c>
      <c r="B12" s="20" t="inlineStr">
        <is>
          <t>A ceramic tube that bends and stretches very slightly when voltage is applied. It moves the tip across the sample and up and down, in steps smaller than an atom.</t>
        </is>
      </c>
      <c r="C12" s="20" t="inlineStr">
        <is>
          <t>New. Replaces v1's flat piezo disc. Prof. Vasquez suggested a tube for steadier scanning.</t>
        </is>
      </c>
      <c r="D12" s="19" t="inlineStr">
        <is>
          <t>PiezoDrive</t>
        </is>
      </c>
      <c r="E12" s="20" t="inlineStr">
        <is>
          <t>TB3006-N</t>
        </is>
      </c>
      <c r="F12" s="19" t="n">
        <v>1</v>
      </c>
      <c r="G12" s="21" t="n">
        <v>131</v>
      </c>
      <c r="H12" s="21">
        <f>F12*G12</f>
        <v/>
      </c>
      <c r="I12" s="22">
        <f>HYPERLINK("https://www.piezodrive.com/product/tb3006-n-29um-range-piezo-tube-scanner/","Open")</f>
        <v/>
      </c>
    </row>
    <row r="13">
      <c r="A13" s="7" t="inlineStr">
        <is>
          <t>Subtotal</t>
        </is>
      </c>
      <c r="B13" s="8" t="n"/>
      <c r="C13" s="8" t="n"/>
      <c r="D13" s="8" t="n"/>
      <c r="E13" s="8" t="n"/>
      <c r="F13" s="8" t="n"/>
      <c r="G13" s="8" t="n"/>
      <c r="H13" s="9">
        <f>SUM(H12:H12)</f>
        <v/>
      </c>
      <c r="I13" s="8" t="n"/>
    </row>
    <row r="15" ht="18" customHeight="1">
      <c r="A15" s="4" t="inlineStr">
        <is>
          <t>2. High-voltage driver (powers the piezo tube)</t>
        </is>
      </c>
      <c r="B15" s="5" t="n"/>
      <c r="C15" s="5" t="n"/>
      <c r="D15" s="5" t="n"/>
      <c r="E15" s="5" t="n"/>
      <c r="F15" s="5" t="n"/>
      <c r="G15" s="5" t="n"/>
      <c r="H15" s="5" t="n"/>
      <c r="I15" s="5" t="n"/>
    </row>
    <row r="16">
      <c r="A16" s="19" t="inlineStr">
        <is>
          <t>Amplifier chips</t>
        </is>
      </c>
      <c r="B16" s="20" t="inlineStr">
        <is>
          <t>The tube has 5 electrical contacts. Each needs its own amplifier chip to raise the control signal to about 45 V. 5 chips plus 1 spare.</t>
        </is>
      </c>
      <c r="C16" s="20" t="inlineStr">
        <is>
          <t>New. The tube needs far more voltage than v1's electronics can supply.</t>
        </is>
      </c>
      <c r="D16" s="19" t="inlineStr">
        <is>
          <t>LCSC</t>
        </is>
      </c>
      <c r="E16" s="20" t="inlineStr">
        <is>
          <t>OPA454</t>
        </is>
      </c>
      <c r="F16" s="19" t="n">
        <v>6</v>
      </c>
      <c r="G16" s="21" t="n">
        <v>6.725</v>
      </c>
      <c r="H16" s="21">
        <f>F16*G16</f>
        <v/>
      </c>
      <c r="I16" s="22">
        <f>HYPERLINK("https://www.lcsc.com/product-detail/C50636.html","Open")</f>
        <v/>
      </c>
    </row>
    <row r="17">
      <c r="A17" s="19" t="inlineStr">
        <is>
          <t>Transformer</t>
        </is>
      </c>
      <c r="B17" s="20" t="inlineStr">
        <is>
          <t>Converts wall power into the high voltage the amplifier chips run on. Estimate: priced from a similar model, and the exact one is chosen when the circuit is drawn.</t>
        </is>
      </c>
      <c r="C17" s="20" t="inlineStr">
        <is>
          <t>New. Part of the high-voltage driver.</t>
        </is>
      </c>
      <c r="D17" s="19" t="inlineStr">
        <is>
          <t>Jameco</t>
        </is>
      </c>
      <c r="E17" s="20" t="inlineStr">
        <is>
          <t>similar to Hammond 182M18</t>
        </is>
      </c>
      <c r="F17" s="19" t="n">
        <v>1</v>
      </c>
      <c r="G17" s="21" t="n">
        <v>67.84999999999999</v>
      </c>
      <c r="H17" s="21">
        <f>F17*G17</f>
        <v/>
      </c>
      <c r="I17" s="22">
        <f>HYPERLINK("https://www.jameco.com/z/182M18-Hammond-Manufacturing-Toroidal-Transformer-120VA-50Hz-Dual-Secondary-36VCT-3-33A-Series-18V-6-66A-Parallel_2575671.html","Open")</f>
        <v/>
      </c>
    </row>
    <row r="18">
      <c r="A18" s="19" t="inlineStr">
        <is>
          <t>Small electronic parts</t>
        </is>
      </c>
      <c r="B18" s="20" t="inlineStr">
        <is>
          <t>Resistors, capacitors, connectors and heat sinks for the high-voltage board. Estimate, capped at $40; listed exactly once the circuit is drawn.</t>
        </is>
      </c>
      <c r="C18" s="20" t="inlineStr">
        <is>
          <t>New. Part of the high-voltage driver.</t>
        </is>
      </c>
      <c r="D18" s="19" t="inlineStr">
        <is>
          <t>LCSC</t>
        </is>
      </c>
      <c r="E18" s="20" t="inlineStr">
        <is>
          <t>to be listed</t>
        </is>
      </c>
      <c r="F18" s="19" t="n">
        <v>1</v>
      </c>
      <c r="G18" s="21" t="n">
        <v>40</v>
      </c>
      <c r="H18" s="21">
        <f>F18*G18</f>
        <v/>
      </c>
      <c r="I18" s="22">
        <f>HYPERLINK("https://www.lcsc.com/","Open")</f>
        <v/>
      </c>
    </row>
    <row r="19">
      <c r="A19" s="19" t="inlineStr">
        <is>
          <t>Circuit boards for the driver</t>
        </is>
      </c>
      <c r="B19" s="20" t="inlineStr">
        <is>
          <t>Blank boards for the high-voltage circuit, made by the same factory as the other boards. The factory's smallest order is 5.</t>
        </is>
      </c>
      <c r="C19" s="20" t="inlineStr">
        <is>
          <t>New. Part of the high-voltage driver.</t>
        </is>
      </c>
      <c r="D19" s="19" t="inlineStr">
        <is>
          <t>JLCPCB</t>
        </is>
      </c>
      <c r="E19" s="20" t="inlineStr">
        <is>
          <t>custom</t>
        </is>
      </c>
      <c r="F19" s="19" t="n">
        <v>5</v>
      </c>
      <c r="G19" s="21" t="n">
        <v>2</v>
      </c>
      <c r="H19" s="21">
        <f>F19*G19</f>
        <v/>
      </c>
      <c r="I19" s="22">
        <f>HYPERLINK("https://jlcpcb.com/","Open")</f>
        <v/>
      </c>
    </row>
    <row r="20">
      <c r="A20" s="7" t="inlineStr">
        <is>
          <t>Subtotal</t>
        </is>
      </c>
      <c r="B20" s="8" t="n"/>
      <c r="C20" s="8" t="n"/>
      <c r="D20" s="8" t="n"/>
      <c r="E20" s="8" t="n"/>
      <c r="F20" s="8" t="n"/>
      <c r="G20" s="8" t="n"/>
      <c r="H20" s="9">
        <f>SUM(H16:H19)</f>
        <v/>
      </c>
      <c r="I20" s="8" t="n"/>
    </row>
    <row r="22" ht="18" customHeight="1">
      <c r="A22" s="4" t="inlineStr">
        <is>
          <t>3. Coarse approach (brings the sample close to the tip)</t>
        </is>
      </c>
      <c r="B22" s="5" t="n"/>
      <c r="C22" s="5" t="n"/>
      <c r="D22" s="5" t="n"/>
      <c r="E22" s="5" t="n"/>
      <c r="F22" s="5" t="n"/>
      <c r="G22" s="5" t="n"/>
      <c r="H22" s="5" t="n"/>
      <c r="I22" s="5" t="n"/>
    </row>
    <row r="23">
      <c r="A23" s="19" t="inlineStr">
        <is>
          <t>Motor</t>
        </is>
      </c>
      <c r="B23" s="20" t="inlineStr">
        <is>
          <t>A motor that turns in small, precise steps. It slowly turns one adjustment screw to bring the sample up to the tip, then the piezo tube takes over. Joined to the screw by a 3D-printed coupler and powered by the bench power supply.</t>
        </is>
      </c>
      <c r="C23" s="20" t="inlineStr">
        <is>
          <t>New. Replaces v1's small toy-grade motor. Finer steps lower the risk of crashing the tip into the sample.</t>
        </is>
      </c>
      <c r="D23" s="19" t="inlineStr">
        <is>
          <t>Adafruit</t>
        </is>
      </c>
      <c r="E23" s="20" t="inlineStr">
        <is>
          <t>324 (standard NEMA-17 size)</t>
        </is>
      </c>
      <c r="F23" s="19" t="n">
        <v>1</v>
      </c>
      <c r="G23" s="21" t="n">
        <v>14</v>
      </c>
      <c r="H23" s="21">
        <f>F23*G23</f>
        <v/>
      </c>
      <c r="I23" s="22">
        <f>HYPERLINK("https://www.adafruit.com/product/324","Open")</f>
        <v/>
      </c>
    </row>
    <row r="24">
      <c r="A24" s="19" t="inlineStr">
        <is>
          <t>Motor controller</t>
        </is>
      </c>
      <c r="B24" s="20" t="inlineStr">
        <is>
          <t>A small board that lets the microcontroller (section 4) move the motor in tiny fractions of a step.</t>
        </is>
      </c>
      <c r="C24" s="20" t="inlineStr">
        <is>
          <t>New. Needed to run the new motor.</t>
        </is>
      </c>
      <c r="D24" s="19" t="inlineStr">
        <is>
          <t>Adafruit</t>
        </is>
      </c>
      <c r="E24" s="20" t="inlineStr">
        <is>
          <t>6121</t>
        </is>
      </c>
      <c r="F24" s="19" t="n">
        <v>1</v>
      </c>
      <c r="G24" s="21" t="n">
        <v>8.949999999999999</v>
      </c>
      <c r="H24" s="21">
        <f>F24*G24</f>
        <v/>
      </c>
      <c r="I24" s="22">
        <f>HYPERLINK("https://adafruit.com/product/6121","Open")</f>
        <v/>
      </c>
    </row>
    <row r="25">
      <c r="A25" s="19" t="inlineStr">
        <is>
          <t>Adjustment screws</t>
        </is>
      </c>
      <c r="B25" s="20" t="inlineStr">
        <is>
          <t>Very fine-thread screws, 2 in long, that hold and level the sample plate. One full turn moves only 0.3 mm. The motor turns one of them, and the other two are set by hand.</t>
        </is>
      </c>
      <c r="C25" s="20" t="inlineStr">
        <is>
          <t>Same as v1.</t>
        </is>
      </c>
      <c r="D25" s="19" t="inlineStr">
        <is>
          <t>Thorlabs</t>
        </is>
      </c>
      <c r="E25" s="20" t="inlineStr">
        <is>
          <t>FAS200</t>
        </is>
      </c>
      <c r="F25" s="19" t="n">
        <v>3</v>
      </c>
      <c r="G25" s="21" t="n">
        <v>8.800000000000001</v>
      </c>
      <c r="H25" s="21">
        <f>F25*G25</f>
        <v/>
      </c>
      <c r="I25" s="22">
        <f>HYPERLINK("https://www.thorlabs.com/thorproduct.cfm?partnumber=FAS200","Open")</f>
        <v/>
      </c>
    </row>
    <row r="26">
      <c r="A26" s="19" t="inlineStr">
        <is>
          <t>Threaded metal inserts</t>
        </is>
      </c>
      <c r="B26" s="20" t="inlineStr">
        <is>
          <t>Metal inserts set into the printed frame, so the screws turn in metal threads rather than plastic.</t>
        </is>
      </c>
      <c r="C26" s="20" t="inlineStr">
        <is>
          <t>New. In v1 the screws turned in printed plastic, which wears and loosens.</t>
        </is>
      </c>
      <c r="D26" s="19" t="inlineStr">
        <is>
          <t>Thorlabs</t>
        </is>
      </c>
      <c r="E26" s="20" t="inlineStr">
        <is>
          <t>F25SSN1</t>
        </is>
      </c>
      <c r="F26" s="19" t="n">
        <v>3</v>
      </c>
      <c r="G26" s="21" t="n">
        <v>8.6</v>
      </c>
      <c r="H26" s="21">
        <f>F26*G26</f>
        <v/>
      </c>
      <c r="I26" s="22">
        <f>HYPERLINK("https://www.thorlabs.com/thorproduct.cfm?partnumber=F25SSN1","Open")</f>
        <v/>
      </c>
    </row>
    <row r="27">
      <c r="A27" s="7" t="inlineStr">
        <is>
          <t>Subtotal</t>
        </is>
      </c>
      <c r="B27" s="8" t="n"/>
      <c r="C27" s="8" t="n"/>
      <c r="D27" s="8" t="n"/>
      <c r="E27" s="8" t="n"/>
      <c r="F27" s="8" t="n"/>
      <c r="G27" s="8" t="n"/>
      <c r="H27" s="9">
        <f>SUM(H23:H26)</f>
        <v/>
      </c>
      <c r="I27" s="8" t="n"/>
    </row>
    <row r="29" ht="18" customHeight="1">
      <c r="A29" s="4" t="inlineStr">
        <is>
          <t>4. Control electronics (runs the microscope)</t>
        </is>
      </c>
      <c r="B29" s="5" t="n"/>
      <c r="C29" s="5" t="n"/>
      <c r="D29" s="5" t="n"/>
      <c r="E29" s="5" t="n"/>
      <c r="F29" s="5" t="n"/>
      <c r="G29" s="5" t="n"/>
      <c r="H29" s="5" t="n"/>
      <c r="I29" s="5" t="n"/>
    </row>
    <row r="30">
      <c r="A30" s="19" t="inlineStr">
        <is>
          <t>Main circuit boards</t>
        </is>
      </c>
      <c r="B30" s="20" t="inlineStr">
        <is>
          <t>The main board makes the scan signals and reads the tip current. The factory solders most parts on. 2 boards: one to use and one spare.</t>
        </is>
      </c>
      <c r="C30" s="20" t="inlineStr">
        <is>
          <t>Same as v1. Same design, priced at what v1 paid in July 2026.</t>
        </is>
      </c>
      <c r="D30" s="19" t="inlineStr">
        <is>
          <t>JLCPCB</t>
        </is>
      </c>
      <c r="E30" s="20" t="inlineStr">
        <is>
          <t>custom (v1 design)</t>
        </is>
      </c>
      <c r="F30" s="19" t="n">
        <v>2</v>
      </c>
      <c r="G30" s="21" t="n">
        <v>209.64</v>
      </c>
      <c r="H30" s="21">
        <f>F30*G30</f>
        <v/>
      </c>
      <c r="I30" s="22">
        <f>HYPERLINK("https://jlcpcb.com/","Open")</f>
        <v/>
      </c>
    </row>
    <row r="31">
      <c r="A31" s="19" t="inlineStr">
        <is>
          <t>Spare bare main boards</t>
        </is>
      </c>
      <c r="B31" s="20" t="inlineStr">
        <is>
          <t>The factory makes at least 5 boards. 2 come assembled (above), and these 3 come bare at a small extra cost.</t>
        </is>
      </c>
      <c r="C31" s="20" t="inlineStr">
        <is>
          <t>Same as v1.</t>
        </is>
      </c>
      <c r="D31" s="19" t="inlineStr">
        <is>
          <t>JLCPCB</t>
        </is>
      </c>
      <c r="E31" s="20" t="inlineStr">
        <is>
          <t>custom</t>
        </is>
      </c>
      <c r="F31" s="19" t="n">
        <v>3</v>
      </c>
      <c r="G31" s="21" t="n">
        <v>1.68</v>
      </c>
      <c r="H31" s="21">
        <f>F31*G31</f>
        <v/>
      </c>
      <c r="I31" s="22">
        <f>HYPERLINK("https://jlcpcb.com/","Open")</f>
        <v/>
      </c>
    </row>
    <row r="32">
      <c r="A32" s="19" t="inlineStr">
        <is>
          <t>Amplifier chip for the main board</t>
        </is>
      </c>
      <c r="B32" s="20" t="inlineStr">
        <is>
          <t>One chip the factory could not supply, so we buy it and solder it on ourselves. 1 plus 1 spare.</t>
        </is>
      </c>
      <c r="C32" s="20" t="inlineStr">
        <is>
          <t>Same as v1.</t>
        </is>
      </c>
      <c r="D32" s="19" t="inlineStr">
        <is>
          <t>DigiKey</t>
        </is>
      </c>
      <c r="E32" s="20" t="inlineStr">
        <is>
          <t>LT1469</t>
        </is>
      </c>
      <c r="F32" s="19" t="n">
        <v>2</v>
      </c>
      <c r="G32" s="21" t="n">
        <v>18.26</v>
      </c>
      <c r="H32" s="21">
        <f>F32*G32</f>
        <v/>
      </c>
      <c r="I32" s="22">
        <f>HYPERLINK("https://www.digikey.com/en/products/detail/analog-devices-inc/LT1469IN8-PBF/962892","Open")</f>
        <v/>
      </c>
    </row>
    <row r="33">
      <c r="A33" s="19" t="inlineStr">
        <is>
          <t>Microcontroller</t>
        </is>
      </c>
      <c r="B33" s="20" t="inlineStr">
        <is>
          <t>A small computer board that runs the microscope and talks to the laptop.</t>
        </is>
      </c>
      <c r="C33" s="20" t="inlineStr">
        <is>
          <t>Same as v1.</t>
        </is>
      </c>
      <c r="D33" s="19" t="inlineStr">
        <is>
          <t>SparkFun</t>
        </is>
      </c>
      <c r="E33" s="20" t="inlineStr">
        <is>
          <t>Teensy 4.1</t>
        </is>
      </c>
      <c r="F33" s="19" t="n">
        <v>1</v>
      </c>
      <c r="G33" s="21" t="n">
        <v>31.5</v>
      </c>
      <c r="H33" s="21">
        <f>F33*G33</f>
        <v/>
      </c>
      <c r="I33" s="22">
        <f>HYPERLINK("https://www.sparkfun.com/teensy-4-1.html","Open")</f>
        <v/>
      </c>
    </row>
    <row r="34">
      <c r="A34" s="7" t="inlineStr">
        <is>
          <t>Subtotal</t>
        </is>
      </c>
      <c r="B34" s="8" t="n"/>
      <c r="C34" s="8" t="n"/>
      <c r="D34" s="8" t="n"/>
      <c r="E34" s="8" t="n"/>
      <c r="F34" s="8" t="n"/>
      <c r="G34" s="8" t="n"/>
      <c r="H34" s="9">
        <f>SUM(H30:H33)</f>
        <v/>
      </c>
      <c r="I34" s="8" t="n"/>
    </row>
    <row r="36" ht="18" customHeight="1">
      <c r="A36" s="4" t="inlineStr">
        <is>
          <t>5. Preamp (amplifies the tiny tip current)</t>
        </is>
      </c>
      <c r="B36" s="5" t="n"/>
      <c r="C36" s="5" t="n"/>
      <c r="D36" s="5" t="n"/>
      <c r="E36" s="5" t="n"/>
      <c r="F36" s="5" t="n"/>
      <c r="G36" s="5" t="n"/>
      <c r="H36" s="5" t="n"/>
      <c r="I36" s="5" t="n"/>
    </row>
    <row r="37">
      <c r="A37" s="19" t="inlineStr">
        <is>
          <t>Preamp circuit boards</t>
        </is>
      </c>
      <c r="B37" s="20" t="inlineStr">
        <is>
          <t>The current between tip and sample is about a billionth of an amp. This board turns it into a voltage the main board can read. The factory solders most parts on. 2 boards: one to use and one spare.</t>
        </is>
      </c>
      <c r="C37" s="20" t="inlineStr">
        <is>
          <t>Updated. v1's board was missing a ground connection, which made readings unreliable; the v2 design fixes it. Same size, priced at what v1 paid.</t>
        </is>
      </c>
      <c r="D37" s="19" t="inlineStr">
        <is>
          <t>JLCPCB</t>
        </is>
      </c>
      <c r="E37" s="20" t="inlineStr">
        <is>
          <t>custom (v2 preamp design)</t>
        </is>
      </c>
      <c r="F37" s="19" t="n">
        <v>2</v>
      </c>
      <c r="G37" s="21" t="n">
        <v>30.17</v>
      </c>
      <c r="H37" s="21">
        <f>F37*G37</f>
        <v/>
      </c>
      <c r="I37" s="22">
        <f>HYPERLINK("https://jlcpcb.com/","Open")</f>
        <v/>
      </c>
    </row>
    <row r="38">
      <c r="A38" s="19" t="inlineStr">
        <is>
          <t>Spare bare preamp boards</t>
        </is>
      </c>
      <c r="B38" s="20" t="inlineStr">
        <is>
          <t>The factory makes at least 5 boards. 2 come assembled (above), and these 3 come bare at a small extra cost.</t>
        </is>
      </c>
      <c r="C38" s="20" t="inlineStr">
        <is>
          <t>Same as v1.</t>
        </is>
      </c>
      <c r="D38" s="19" t="inlineStr">
        <is>
          <t>JLCPCB</t>
        </is>
      </c>
      <c r="E38" s="20" t="inlineStr">
        <is>
          <t>custom</t>
        </is>
      </c>
      <c r="F38" s="19" t="n">
        <v>3</v>
      </c>
      <c r="G38" s="21" t="n">
        <v>0.8</v>
      </c>
      <c r="H38" s="21">
        <f>F38*G38</f>
        <v/>
      </c>
      <c r="I38" s="22">
        <f>HYPERLINK("https://jlcpcb.com/","Open")</f>
        <v/>
      </c>
    </row>
    <row r="39">
      <c r="A39" s="19" t="inlineStr">
        <is>
          <t>Resistor</t>
        </is>
      </c>
      <c r="B39" s="20" t="inlineStr">
        <is>
          <t>Sets how strongly the preamp amplifies. Soldered on by hand. 1 plus 1 spare.</t>
        </is>
      </c>
      <c r="C39" s="20" t="inlineStr">
        <is>
          <t>Changed. 1 billion ohms instead of v1's 100 million gives a 10 times stronger signal. Recommended by Baird Bankovic, a Cornell graduate student who advises the project.</t>
        </is>
      </c>
      <c r="D39" s="19" t="inlineStr">
        <is>
          <t>DigiKey</t>
        </is>
      </c>
      <c r="E39" s="20" t="inlineStr">
        <is>
          <t>Ohmite SM104031007FE</t>
        </is>
      </c>
      <c r="F39" s="19" t="n">
        <v>2</v>
      </c>
      <c r="G39" s="21" t="n">
        <v>5.73</v>
      </c>
      <c r="H39" s="21">
        <f>F39*G39</f>
        <v/>
      </c>
      <c r="I39" s="22">
        <f>HYPERLINK("https://www.digikey.com/en/products/detail/ohmite/SM104031007FE/824190","Open")</f>
        <v/>
      </c>
    </row>
    <row r="40">
      <c r="A40" s="19" t="inlineStr">
        <is>
          <t>Insulated post</t>
        </is>
      </c>
      <c r="B40" s="20" t="inlineStr">
        <is>
          <t>A small Teflon post where the tip wire joins the preamp, so no stray current leaks in. 1 plus 1 spare.</t>
        </is>
      </c>
      <c r="C40" s="20" t="inlineStr">
        <is>
          <t>Same as v1.</t>
        </is>
      </c>
      <c r="D40" s="19" t="inlineStr">
        <is>
          <t>DigiKey</t>
        </is>
      </c>
      <c r="E40" s="20" t="inlineStr">
        <is>
          <t>Keystone 11301</t>
        </is>
      </c>
      <c r="F40" s="19" t="n">
        <v>2</v>
      </c>
      <c r="G40" s="21" t="n">
        <v>2.09</v>
      </c>
      <c r="H40" s="21">
        <f>F40*G40</f>
        <v/>
      </c>
      <c r="I40" s="22">
        <f>HYPERLINK("https://octopart.com/part/keystone/11301","Open")</f>
        <v/>
      </c>
    </row>
    <row r="41">
      <c r="A41" s="19" t="inlineStr">
        <is>
          <t>9 V batteries</t>
        </is>
      </c>
      <c r="B41" s="20" t="inlineStr">
        <is>
          <t>Power the preamp. It uses two 9 V batteries (one for the plus side, one for the minus side). The 4-pack gives a spare set. Any 9 V alkaline works.</t>
        </is>
      </c>
      <c r="C41" s="20" t="inlineStr">
        <is>
          <t>New. Battery power keeps electrical noise from the wall out of the preamp (Baird Bankovic's advice).</t>
        </is>
      </c>
      <c r="D41" s="19" t="inlineStr">
        <is>
          <t>Battery Junction</t>
        </is>
      </c>
      <c r="E41" s="20" t="inlineStr">
        <is>
          <t>Energizer 522, 4-pack</t>
        </is>
      </c>
      <c r="F41" s="19" t="n">
        <v>1</v>
      </c>
      <c r="G41" s="21" t="n">
        <v>20.85</v>
      </c>
      <c r="H41" s="21">
        <f>F41*G41</f>
        <v/>
      </c>
      <c r="I41" s="22">
        <f>HYPERLINK("https://batteryjunction.com/batteries/shop-by-size/9v/energizer-522bp-4","Open")</f>
        <v/>
      </c>
    </row>
    <row r="42">
      <c r="A42" s="19" t="inlineStr">
        <is>
          <t>Battery holders</t>
        </is>
      </c>
      <c r="B42" s="20" t="inlineStr">
        <is>
          <t>Hold and connect the two 9 V batteries.</t>
        </is>
      </c>
      <c r="C42" s="20" t="inlineStr">
        <is>
          <t>New. Goes with the batteries.</t>
        </is>
      </c>
      <c r="D42" s="19" t="inlineStr">
        <is>
          <t>DigiKey</t>
        </is>
      </c>
      <c r="E42" s="20" t="inlineStr">
        <is>
          <t>Keystone 1294</t>
        </is>
      </c>
      <c r="F42" s="19" t="n">
        <v>2</v>
      </c>
      <c r="G42" s="21" t="n">
        <v>2.99</v>
      </c>
      <c r="H42" s="21">
        <f>F42*G42</f>
        <v/>
      </c>
      <c r="I42" s="22">
        <f>HYPERLINK("https://octopart.com/part/keystone/1294","Open")</f>
        <v/>
      </c>
    </row>
    <row r="43">
      <c r="A43" s="7" t="inlineStr">
        <is>
          <t>Subtotal</t>
        </is>
      </c>
      <c r="B43" s="8" t="n"/>
      <c r="C43" s="8" t="n"/>
      <c r="D43" s="8" t="n"/>
      <c r="E43" s="8" t="n"/>
      <c r="F43" s="8" t="n"/>
      <c r="G43" s="8" t="n"/>
      <c r="H43" s="9">
        <f>SUM(H37:H42)</f>
        <v/>
      </c>
      <c r="I43" s="8" t="n"/>
    </row>
    <row r="45" ht="18" customHeight="1">
      <c r="A45" s="4" t="inlineStr">
        <is>
          <t>6. Sample plate and frame</t>
        </is>
      </c>
      <c r="B45" s="5" t="n"/>
      <c r="C45" s="5" t="n"/>
      <c r="D45" s="5" t="n"/>
      <c r="E45" s="5" t="n"/>
      <c r="F45" s="5" t="n"/>
      <c r="G45" s="5" t="n"/>
      <c r="H45" s="5" t="n"/>
      <c r="I45" s="5" t="n"/>
    </row>
    <row r="46">
      <c r="A46" s="19" t="inlineStr">
        <is>
          <t>3D printer plastic</t>
        </is>
      </c>
      <c r="B46" s="20" t="inlineStr">
        <is>
          <t>1 kg spool of carbon-fiber reinforced plastic for printing the head, sample plate and frame.</t>
        </is>
      </c>
      <c r="C46" s="20" t="inlineStr">
        <is>
          <t>Changed. Stiffer than v1's nylon, and cheaper.</t>
        </is>
      </c>
      <c r="D46" s="19" t="inlineStr">
        <is>
          <t>SUNLU</t>
        </is>
      </c>
      <c r="E46" s="20" t="inlineStr">
        <is>
          <t>PETG-CF, 1 kg</t>
        </is>
      </c>
      <c r="F46" s="19" t="n">
        <v>1</v>
      </c>
      <c r="G46" s="21" t="n">
        <v>19.99</v>
      </c>
      <c r="H46" s="21">
        <f>F46*G46</f>
        <v/>
      </c>
      <c r="I46" s="22">
        <f>HYPERLINK("https://store.sunlu.com/products/petg-cfpetg-carbon-fiber-3d-printer-filament-1kg","Open")</f>
        <v/>
      </c>
    </row>
    <row r="47">
      <c r="A47" s="19" t="inlineStr">
        <is>
          <t>Steel balls</t>
        </is>
      </c>
      <c r="B47" s="20" t="inlineStr">
        <is>
          <t>Hardened steel balls (4.6 mm, pack of 100) that give the three screw tips hard, fixed resting points.</t>
        </is>
      </c>
      <c r="C47" s="20" t="inlineStr">
        <is>
          <t>New. Make the sample plate sit in exactly the same place every time.</t>
        </is>
      </c>
      <c r="D47" s="19" t="inlineStr">
        <is>
          <t>Walmart</t>
        </is>
      </c>
      <c r="E47" s="20" t="inlineStr">
        <is>
          <t>uxcell 0.18 in, 100 pcs</t>
        </is>
      </c>
      <c r="F47" s="19" t="n">
        <v>1</v>
      </c>
      <c r="G47" s="21" t="n">
        <v>9.99</v>
      </c>
      <c r="H47" s="21">
        <f>F47*G47</f>
        <v/>
      </c>
      <c r="I47" s="22">
        <f>HYPERLINK("https://www.walmart.com/ip/533082272","Open")</f>
        <v/>
      </c>
    </row>
    <row r="48">
      <c r="A48" s="19" t="inlineStr">
        <is>
          <t>Sample discs</t>
        </is>
      </c>
      <c r="B48" s="20" t="inlineStr">
        <is>
          <t>Pack of 50 small steel discs (12 mm). The graphite sample is glued to one, and a magnet holds it on the plate.</t>
        </is>
      </c>
      <c r="C48" s="20" t="inlineStr">
        <is>
          <t>New. A magnet replaces v1's springs and rubber bands, which let the sample move.</t>
        </is>
      </c>
      <c r="D48" s="19" t="inlineStr">
        <is>
          <t>Ted Pella</t>
        </is>
      </c>
      <c r="E48" s="20" t="inlineStr">
        <is>
          <t>16208, pack of 50</t>
        </is>
      </c>
      <c r="F48" s="19" t="n">
        <v>1</v>
      </c>
      <c r="G48" s="21" t="n">
        <v>30</v>
      </c>
      <c r="H48" s="21">
        <f>F48*G48</f>
        <v/>
      </c>
      <c r="I48" s="22">
        <f>HYPERLINK("https://www.tedpella.com/AFM_html/AFM.aspx","Open")</f>
        <v/>
      </c>
    </row>
    <row r="49">
      <c r="A49" s="19" t="inlineStr">
        <is>
          <t>Vibration pads</t>
        </is>
      </c>
      <c r="B49" s="20" t="inlineStr">
        <is>
          <t>Pads of vibration-absorbing rubber under the microscope that soak up building vibration. Estimate: this size's price was not shown online.</t>
        </is>
      </c>
      <c r="C49" s="20" t="inlineStr">
        <is>
          <t>New. Replace v1's platform hung on springs.</t>
        </is>
      </c>
      <c r="D49" s="19" t="inlineStr">
        <is>
          <t>Isolate It</t>
        </is>
      </c>
      <c r="E49" s="20" t="inlineStr">
        <is>
          <t>Sorbothane 6x6 in, 2-pack</t>
        </is>
      </c>
      <c r="F49" s="19" t="n">
        <v>1</v>
      </c>
      <c r="G49" s="21" t="n">
        <v>35</v>
      </c>
      <c r="H49" s="21">
        <f>F49*G49</f>
        <v/>
      </c>
      <c r="I49" s="22">
        <f>HYPERLINK("https://www.isolateit.com/products/sorbothane-acoustic-and-vibration-isolation-square-6-x-6-pads","Open")</f>
        <v/>
      </c>
    </row>
    <row r="50">
      <c r="A50" s="7" t="inlineStr">
        <is>
          <t>Subtotal</t>
        </is>
      </c>
      <c r="B50" s="8" t="n"/>
      <c r="C50" s="8" t="n"/>
      <c r="D50" s="8" t="n"/>
      <c r="E50" s="8" t="n"/>
      <c r="F50" s="8" t="n"/>
      <c r="G50" s="8" t="n"/>
      <c r="H50" s="9">
        <f>SUM(H46:H49)</f>
        <v/>
      </c>
      <c r="I50" s="8" t="n"/>
    </row>
    <row r="52" ht="18" customHeight="1">
      <c r="A52" s="4" t="inlineStr">
        <is>
          <t>7. Sensors</t>
        </is>
      </c>
      <c r="B52" s="5" t="n"/>
      <c r="C52" s="5" t="n"/>
      <c r="D52" s="5" t="n"/>
      <c r="E52" s="5" t="n"/>
      <c r="F52" s="5" t="n"/>
      <c r="G52" s="5" t="n"/>
      <c r="H52" s="5" t="n"/>
      <c r="I52" s="5" t="n"/>
    </row>
    <row r="53">
      <c r="A53" s="19" t="inlineStr">
        <is>
          <t>Temperature sensors</t>
        </is>
      </c>
      <c r="B53" s="20" t="inlineStr">
        <is>
          <t>Measure temperature at the head and the preamp. 2 sensors.</t>
        </is>
      </c>
      <c r="C53" s="20" t="inlineStr">
        <is>
          <t>New. Show whether the image slowly drifting is caused by temperature changes.</t>
        </is>
      </c>
      <c r="D53" s="19" t="inlineStr">
        <is>
          <t>Adafruit</t>
        </is>
      </c>
      <c r="E53" s="20" t="inlineStr">
        <is>
          <t>4821 (TMP117)</t>
        </is>
      </c>
      <c r="F53" s="19" t="n">
        <v>2</v>
      </c>
      <c r="G53" s="21" t="n">
        <v>11.5</v>
      </c>
      <c r="H53" s="21">
        <f>F53*G53</f>
        <v/>
      </c>
      <c r="I53" s="22">
        <f>HYPERLINK("https://adafruit.com/product/4821","Open")</f>
        <v/>
      </c>
    </row>
    <row r="54">
      <c r="A54" s="7" t="inlineStr">
        <is>
          <t>Subtotal</t>
        </is>
      </c>
      <c r="B54" s="8" t="n"/>
      <c r="C54" s="8" t="n"/>
      <c r="D54" s="8" t="n"/>
      <c r="E54" s="8" t="n"/>
      <c r="F54" s="8" t="n"/>
      <c r="G54" s="8" t="n"/>
      <c r="H54" s="9">
        <f>SUM(H53:H53)</f>
        <v/>
      </c>
      <c r="I54" s="8" t="n"/>
    </row>
    <row r="56">
      <c r="A56" s="7" t="inlineStr">
        <is>
          <t>All parts above</t>
        </is>
      </c>
      <c r="B56" s="8" t="n"/>
      <c r="C56" s="8" t="n"/>
      <c r="D56" s="8" t="n"/>
      <c r="E56" s="8" t="n"/>
      <c r="F56" s="8" t="n"/>
      <c r="G56" s="8" t="n"/>
      <c r="H56" s="9">
        <f>H13+H20+H27+H34+H43+H50+H54</f>
        <v/>
      </c>
      <c r="I56" s="8" t="n"/>
    </row>
    <row r="57">
      <c r="A57" t="inlineStr">
        <is>
          <t>Shipping and import fees</t>
        </is>
      </c>
      <c r="B57" s="20" t="inlineStr">
        <is>
          <t>For sections 1 to 7. Most of it is shipping and the 35% US import tariff on the circuit boards, which are made by JLCPCB, a circuit-board factory in China. Section 8 prices do not include shipping.</t>
        </is>
      </c>
      <c r="H57" s="6" t="n">
        <v>489.1</v>
      </c>
    </row>
    <row r="59" ht="18" customHeight="1">
      <c r="A59" s="23" t="inlineStr">
        <is>
          <t>8. Things UCSD may already have: choose Yes in the last column if UCSD will provide it, and it comes off the total</t>
        </is>
      </c>
      <c r="B59" s="24" t="n"/>
      <c r="C59" s="24" t="n"/>
      <c r="D59" s="24" t="n"/>
      <c r="E59" s="24" t="n"/>
      <c r="F59" s="24" t="n"/>
      <c r="G59" s="24" t="n"/>
      <c r="H59" s="24" t="n"/>
      <c r="I59" s="24" t="n"/>
      <c r="J59" s="24" t="n"/>
    </row>
    <row r="60" ht="20" customHeight="1">
      <c r="A60" s="25" t="inlineStr">
        <is>
          <t>Item</t>
        </is>
      </c>
      <c r="B60" s="25" t="inlineStr">
        <is>
          <t>What it does</t>
        </is>
      </c>
      <c r="C60" s="25" t="inlineStr">
        <is>
          <t>New in v2? Why</t>
        </is>
      </c>
      <c r="D60" s="25" t="inlineStr">
        <is>
          <t>Vendor</t>
        </is>
      </c>
      <c r="E60" s="25" t="inlineStr">
        <is>
          <t>Part number</t>
        </is>
      </c>
      <c r="F60" s="25" t="inlineStr">
        <is>
          <t>Qty</t>
        </is>
      </c>
      <c r="G60" s="25" t="inlineStr">
        <is>
          <t>Price each</t>
        </is>
      </c>
      <c r="H60" s="25" t="inlineStr">
        <is>
          <t>Total</t>
        </is>
      </c>
      <c r="I60" s="25" t="inlineStr">
        <is>
          <t>Link</t>
        </is>
      </c>
      <c r="J60" s="25" t="inlineStr">
        <is>
          <t>Free from UCSD?</t>
        </is>
      </c>
    </row>
    <row r="61">
      <c r="A61" s="19" t="inlineStr">
        <is>
          <t>Scanning tips</t>
        </is>
      </c>
      <c r="B61" s="20" t="inlineStr">
        <is>
          <t>10 ready-made platinum-iridium tips. The tip is the needle that scans the sample. Platinum-iridium does not rust in air, so the tip stays sharp.</t>
        </is>
      </c>
      <c r="C61" s="20" t="inlineStr">
        <is>
          <t>Changed. v1 used tungsten wire, which corrodes in air.</t>
        </is>
      </c>
      <c r="D61" s="19" t="inlineStr">
        <is>
          <t>Bruker</t>
        </is>
      </c>
      <c r="E61" s="20" t="inlineStr">
        <is>
          <t>DPT10</t>
        </is>
      </c>
      <c r="F61" s="19" t="n">
        <v>1</v>
      </c>
      <c r="G61" s="21" t="n">
        <v>277.2</v>
      </c>
      <c r="H61" s="21">
        <f>IF(OR(J61="Yes",J61=TRUE),0,F61*G61)</f>
        <v/>
      </c>
      <c r="I61" s="22">
        <f>HYPERLINK("https://store.bruker.com/products/dpt10","Open")</f>
        <v/>
      </c>
      <c r="J61" s="26" t="n"/>
    </row>
    <row r="62">
      <c r="A62" s="19" t="inlineStr">
        <is>
          <t>Graphite test sample</t>
        </is>
      </c>
      <c r="B62" s="20" t="inlineStr">
        <is>
          <t>Very flat graphite (called HOPG), the standard sample for seeing individual atoms. 10 x 10 mm.</t>
        </is>
      </c>
      <c r="C62" s="20" t="inlineStr">
        <is>
          <t>New. v1 tested on gold leaf, which is too rough to show atoms.</t>
        </is>
      </c>
      <c r="D62" s="19" t="inlineStr">
        <is>
          <t>NanoAndMore</t>
        </is>
      </c>
      <c r="E62" s="20" t="inlineStr">
        <is>
          <t>HOPG ZYH</t>
        </is>
      </c>
      <c r="F62" s="19" t="n">
        <v>1</v>
      </c>
      <c r="G62" s="21" t="n">
        <v>77</v>
      </c>
      <c r="H62" s="21">
        <f>IF(OR(J62="Yes",J62=TRUE),0,F62*G62)</f>
        <v/>
      </c>
      <c r="I62" s="22">
        <f>HYPERLINK("https://www.nanoandmore.com/AFM-Accessories-HOPG-ZYH","Open")</f>
        <v/>
      </c>
      <c r="J62" s="26" t="n"/>
    </row>
    <row r="63">
      <c r="A63" s="19" t="inlineStr">
        <is>
          <t>Silver glue</t>
        </is>
      </c>
      <c r="B63" s="20" t="inlineStr">
        <is>
          <t>Glue that conducts electricity. It fixes the graphite sample to its disc so current can flow through it.</t>
        </is>
      </c>
      <c r="C63" s="20" t="inlineStr">
        <is>
          <t>New. Goes with the graphite sample.</t>
        </is>
      </c>
      <c r="D63" s="19" t="inlineStr">
        <is>
          <t>MG Chemicals</t>
        </is>
      </c>
      <c r="E63" s="20" t="inlineStr">
        <is>
          <t>8331D-14G</t>
        </is>
      </c>
      <c r="F63" s="19" t="n">
        <v>1</v>
      </c>
      <c r="G63" s="21" t="n">
        <v>133.13</v>
      </c>
      <c r="H63" s="21">
        <f>IF(OR(J63="Yes",J63=TRUE),0,F63*G63)</f>
        <v/>
      </c>
      <c r="I63" s="22">
        <f>HYPERLINK("https://octopart.com/search?q=8331D-14G","Open")</f>
        <v/>
      </c>
      <c r="J63" s="26" t="n"/>
    </row>
    <row r="64">
      <c r="A64" s="19" t="inlineStr">
        <is>
          <t>Heavy stone base</t>
        </is>
      </c>
      <c r="B64" s="20" t="inlineStr">
        <is>
          <t>Granite slab, 9 x 12 in, that the microscope sits on. The weight steadies it against vibration.</t>
        </is>
      </c>
      <c r="C64" s="20" t="inlineStr">
        <is>
          <t>New. Extra protection against vibration.</t>
        </is>
      </c>
      <c r="D64" s="19" t="inlineStr">
        <is>
          <t>Penn Tool Co</t>
        </is>
      </c>
      <c r="E64" s="20" t="inlineStr">
        <is>
          <t>Grizzly G9649</t>
        </is>
      </c>
      <c r="F64" s="19" t="n">
        <v>1</v>
      </c>
      <c r="G64" s="21" t="n">
        <v>75.15000000000001</v>
      </c>
      <c r="H64" s="21">
        <f>IF(OR(J64="Yes",J64=TRUE),0,F64*G64)</f>
        <v/>
      </c>
      <c r="I64" s="22">
        <f>HYPERLINK("https://www.penntoolco.com/grizzly-9-x-12-x-2-granite-surface-plate-no-ledge-g9649/","Open")</f>
        <v/>
      </c>
      <c r="J64" s="26" t="n"/>
    </row>
    <row r="65">
      <c r="A65" s="19" t="inlineStr">
        <is>
          <t>Bench power supply</t>
        </is>
      </c>
      <c r="B65" s="20" t="inlineStr">
        <is>
          <t>Powers the main board and the motor.</t>
        </is>
      </c>
      <c r="C65" s="20" t="inlineStr">
        <is>
          <t>Same kind of item as v1. v2 is a separate instrument, so nothing is taken from v1.</t>
        </is>
      </c>
      <c r="D65" s="19" t="inlineStr">
        <is>
          <t>Amazon</t>
        </is>
      </c>
      <c r="E65" s="20" t="inlineStr">
        <is>
          <t>Jesverty SPS-3010</t>
        </is>
      </c>
      <c r="F65" s="19" t="n">
        <v>1</v>
      </c>
      <c r="G65" s="21" t="n">
        <v>42.74</v>
      </c>
      <c r="H65" s="21">
        <f>IF(OR(J65="Yes",J65=TRUE),0,F65*G65)</f>
        <v/>
      </c>
      <c r="I65" s="22">
        <f>HYPERLINK("https://www.amazon.com/s?k=Jesverty+SPS-3010+bench+power+supply","Open")</f>
        <v/>
      </c>
      <c r="J65" s="26" t="n"/>
    </row>
    <row r="66">
      <c r="A66" s="19" t="inlineStr">
        <is>
          <t>Oscilloscope and multimeter</t>
        </is>
      </c>
      <c r="B66" s="20" t="inlineStr">
        <is>
          <t>Test instrument for checking the boards and signals.</t>
        </is>
      </c>
      <c r="C66" s="20" t="inlineStr">
        <is>
          <t>Same kind of item as v1. v2 is a separate instrument, so nothing is taken from v1.</t>
        </is>
      </c>
      <c r="D66" s="19" t="inlineStr">
        <is>
          <t>Amazon</t>
        </is>
      </c>
      <c r="E66" s="20" t="inlineStr">
        <is>
          <t>FNIRSI DST-201</t>
        </is>
      </c>
      <c r="F66" s="19" t="n">
        <v>1</v>
      </c>
      <c r="G66" s="21" t="n">
        <v>57.99</v>
      </c>
      <c r="H66" s="21">
        <f>IF(OR(J66="Yes",J66=TRUE),0,F66*G66)</f>
        <v/>
      </c>
      <c r="I66" s="22">
        <f>HYPERLINK("https://www.amazon.com/s?k=FNIRSI+DST-201+oscilloscope+multimeter","Open")</f>
        <v/>
      </c>
      <c r="J66" s="26" t="n"/>
    </row>
    <row r="67">
      <c r="A67" s="19" t="inlineStr">
        <is>
          <t>Soldering kit</t>
        </is>
      </c>
      <c r="B67" s="20" t="inlineStr">
        <is>
          <t>Soldering iron, solder paste, flux and heat-shrink tubing, for putting parts on the boards and insulating joints. Price: iron $25.99 + the $30.97 v1 paid for the rest.</t>
        </is>
      </c>
      <c r="C67" s="20" t="inlineStr">
        <is>
          <t>Same kind of item as v1. v2 is a separate instrument, so nothing is taken from v1.</t>
        </is>
      </c>
      <c r="D67" s="19" t="inlineStr">
        <is>
          <t>PINE64 + Amazon</t>
        </is>
      </c>
      <c r="E67" s="20" t="inlineStr">
        <is>
          <t>Pinecil V2 iron + v1 supplies</t>
        </is>
      </c>
      <c r="F67" s="19" t="n">
        <v>1</v>
      </c>
      <c r="G67" s="21" t="n">
        <v>56.96</v>
      </c>
      <c r="H67" s="21">
        <f>IF(OR(J67="Yes",J67=TRUE),0,F67*G67)</f>
        <v/>
      </c>
      <c r="I67" s="22">
        <f>HYPERLINK("https://pine64.com/?p=158078","Open")</f>
        <v/>
      </c>
      <c r="J67" s="26" t="n"/>
    </row>
    <row r="68">
      <c r="A68" s="19" t="inlineStr">
        <is>
          <t>Cables and wire</t>
        </is>
      </c>
      <c r="B68" s="20" t="inlineStr">
        <is>
          <t>Connector pins, jumper wires, the ribbon cable to the microcontroller, two 9-pin cables to the scan head, a USB cable, shielded cable for the tip, and very thin wire for the piezo. Price is what v1 paid for these 7 items.</t>
        </is>
      </c>
      <c r="C68" s="20" t="inlineStr">
        <is>
          <t>Same kind of item as v1. v2 is a separate instrument, so nothing is taken from v1.</t>
        </is>
      </c>
      <c r="D68" s="19" t="inlineStr">
        <is>
          <t>Amazon</t>
        </is>
      </c>
      <c r="E68" s="20" t="inlineStr">
        <is>
          <t>7 items, as bought for v1</t>
        </is>
      </c>
      <c r="F68" s="19" t="n">
        <v>1</v>
      </c>
      <c r="G68" s="21" t="n">
        <v>67.37</v>
      </c>
      <c r="H68" s="21">
        <f>IF(OR(J68="Yes",J68=TRUE),0,F68*G68)</f>
        <v/>
      </c>
      <c r="I68" s="22">
        <f>HYPERLINK("https://www.amazon.com/s?k=RG178+coax+cable","Open")</f>
        <v/>
      </c>
      <c r="J68" s="26" t="n"/>
    </row>
    <row r="69">
      <c r="A69" s="19" t="inlineStr">
        <is>
          <t>Small hardware</t>
        </is>
      </c>
      <c r="B69" s="20" t="inlineStr">
        <is>
          <t>Screw kits for the printed parts, small magnets that hold the sample disc, copper tape for electrical shielding, and chip sockets. Price is what v1 paid for these 5 items.</t>
        </is>
      </c>
      <c r="C69" s="20" t="inlineStr">
        <is>
          <t>Same kind of item as v1. v2 is a separate instrument, so nothing is taken from v1.</t>
        </is>
      </c>
      <c r="D69" s="19" t="inlineStr">
        <is>
          <t>Amazon</t>
        </is>
      </c>
      <c r="E69" s="20" t="inlineStr">
        <is>
          <t>5 items, as bought for v1</t>
        </is>
      </c>
      <c r="F69" s="19" t="n">
        <v>1</v>
      </c>
      <c r="G69" s="21" t="n">
        <v>46.78</v>
      </c>
      <c r="H69" s="21">
        <f>IF(OR(J69="Yes",J69=TRUE),0,F69*G69)</f>
        <v/>
      </c>
      <c r="I69" s="22">
        <f>HYPERLINK("https://www.amazon.com/s?k=M2+M2.5+M3+screw+kit","Open")</f>
        <v/>
      </c>
      <c r="J69" s="26" t="n"/>
    </row>
    <row r="70">
      <c r="A70" s="19" t="inlineStr">
        <is>
          <t>Bench supplies</t>
        </is>
      </c>
      <c r="B70" s="20" t="inlineStr">
        <is>
          <t>Tweezers, an anti-static wrist strap that protects the chips, and lint-free wipes. Price is what v1 paid.</t>
        </is>
      </c>
      <c r="C70" s="20" t="inlineStr">
        <is>
          <t>Same kind of item as v1. v2 is a separate instrument, so nothing is taken from v1.</t>
        </is>
      </c>
      <c r="D70" s="19" t="inlineStr">
        <is>
          <t>Amazon</t>
        </is>
      </c>
      <c r="E70" s="20" t="inlineStr">
        <is>
          <t>3 items, as bought for v1</t>
        </is>
      </c>
      <c r="F70" s="19" t="n">
        <v>1</v>
      </c>
      <c r="G70" s="21" t="n">
        <v>12.17</v>
      </c>
      <c r="H70" s="21">
        <f>IF(OR(J70="Yes",J70=TRUE),0,F70*G70)</f>
        <v/>
      </c>
      <c r="I70" s="22">
        <f>HYPERLINK("https://www.amazon.com/s?k=precision+tweezers+set","Open")</f>
        <v/>
      </c>
      <c r="J70" s="26" t="n"/>
    </row>
    <row r="71">
      <c r="A71" s="27" t="inlineStr">
        <is>
          <t>Subtotal (items not marked Yes)</t>
        </is>
      </c>
      <c r="B71" s="28" t="n"/>
      <c r="C71" s="28" t="n"/>
      <c r="D71" s="28" t="n"/>
      <c r="E71" s="28" t="n"/>
      <c r="F71" s="28" t="n"/>
      <c r="G71" s="28" t="n"/>
      <c r="H71" s="29">
        <f>SUM(H61:H70)</f>
        <v/>
      </c>
      <c r="I71" s="28" t="n"/>
      <c r="J71" s="28" t="n"/>
    </row>
    <row r="73">
      <c r="A73" s="3" t="inlineStr">
        <is>
          <t>TOTAL</t>
        </is>
      </c>
      <c r="B73" s="30" t="n"/>
      <c r="C73" s="30" t="n"/>
      <c r="D73" s="30" t="n"/>
      <c r="E73" s="30" t="n"/>
      <c r="F73" s="30" t="n"/>
      <c r="G73" s="30" t="n"/>
      <c r="H73" s="30" t="n"/>
      <c r="I73" s="30" t="n"/>
      <c r="J73" s="30" t="n"/>
    </row>
    <row r="74">
      <c r="A74" s="16" t="inlineStr">
        <is>
          <t>Parts</t>
        </is>
      </c>
      <c r="B74" s="31" t="inlineStr">
        <is>
          <t>Sections 1 to 7, plus section 8 items not marked Yes</t>
        </is>
      </c>
      <c r="C74" s="32" t="n"/>
      <c r="D74" s="32" t="n"/>
      <c r="E74" s="32" t="n"/>
      <c r="F74" s="32" t="n"/>
      <c r="G74" s="32" t="n"/>
      <c r="H74" s="33">
        <f>H56+H71</f>
        <v/>
      </c>
      <c r="I74" s="32" t="n"/>
      <c r="J74" s="32" t="n"/>
    </row>
    <row r="75">
      <c r="A75" s="16" t="inlineStr">
        <is>
          <t>Shipping and import fees</t>
        </is>
      </c>
      <c r="B75" s="31" t="inlineStr"/>
      <c r="C75" s="32" t="n"/>
      <c r="D75" s="32" t="n"/>
      <c r="E75" s="32" t="n"/>
      <c r="F75" s="32" t="n"/>
      <c r="G75" s="32" t="n"/>
      <c r="H75" s="33">
        <f>H57</f>
        <v/>
      </c>
      <c r="I75" s="32" t="n"/>
      <c r="J75" s="32" t="n"/>
    </row>
    <row r="76">
      <c r="A76" s="16" t="inlineStr">
        <is>
          <t>Sales tax (7.75%)</t>
        </is>
      </c>
      <c r="B76" s="31" t="inlineStr"/>
      <c r="C76" s="32" t="n"/>
      <c r="D76" s="32" t="n"/>
      <c r="E76" s="32" t="n"/>
      <c r="F76" s="32" t="n"/>
      <c r="G76" s="32" t="n"/>
      <c r="H76" s="33">
        <f>ROUND(H74*0.0775,2)</f>
        <v/>
      </c>
      <c r="I76" s="32" t="n"/>
      <c r="J76" s="32" t="n"/>
    </row>
    <row r="77">
      <c r="A77" s="16" t="inlineStr">
        <is>
          <t>Spare money for surprises (10%)</t>
        </is>
      </c>
      <c r="B77" s="31" t="inlineStr"/>
      <c r="C77" s="32" t="n"/>
      <c r="D77" s="32" t="n"/>
      <c r="E77" s="32" t="n"/>
      <c r="F77" s="32" t="n"/>
      <c r="G77" s="32" t="n"/>
      <c r="H77" s="33">
        <f>ROUND((H74+H75+H76)*0.1,2)</f>
        <v/>
      </c>
      <c r="I77" s="32" t="n"/>
      <c r="J77" s="32" t="n"/>
    </row>
    <row r="78">
      <c r="A78" s="10" t="inlineStr">
        <is>
          <t>TOTAL REQUEST</t>
        </is>
      </c>
      <c r="B78" s="34" t="inlineStr"/>
      <c r="C78" s="11" t="n"/>
      <c r="D78" s="11" t="n"/>
      <c r="E78" s="11" t="n"/>
      <c r="F78" s="11" t="n"/>
      <c r="G78" s="11" t="n"/>
      <c r="H78" s="12">
        <f>H74+H75+H76+H77</f>
        <v/>
      </c>
      <c r="I78" s="11" t="n"/>
      <c r="J78" s="11" t="n"/>
    </row>
    <row r="79">
      <c r="A79" s="16" t="inlineStr">
        <is>
          <t>Room left under $2,000</t>
        </is>
      </c>
      <c r="B79" s="31" t="inlineStr">
        <is>
          <t>Negative means over budget</t>
        </is>
      </c>
      <c r="C79" s="32" t="n"/>
      <c r="D79" s="32" t="n"/>
      <c r="E79" s="32" t="n"/>
      <c r="F79" s="32" t="n"/>
      <c r="G79" s="32" t="n"/>
      <c r="H79" s="33">
        <f>2000-H78</f>
        <v/>
      </c>
      <c r="I79" s="32" t="n"/>
      <c r="J79" s="32" t="n"/>
    </row>
    <row r="81">
      <c r="A81" s="2" t="inlineStr">
        <is>
          <t>For comparison</t>
        </is>
      </c>
    </row>
    <row r="82">
      <c r="A82" s="2" t="inlineStr">
        <is>
          <t>If UCSD provides everything in section 8</t>
        </is>
      </c>
      <c r="H82" s="35">
        <f>ROUND((H56+ROUND(H56*0.0775,2)+H57)*1.1,2)</f>
        <v/>
      </c>
    </row>
    <row r="83">
      <c r="A83" s="2" t="inlineStr">
        <is>
          <t>If UCSD provides nothing in section 8</t>
        </is>
      </c>
      <c r="H83" s="35">
        <f>ROUND((H56+SUMPRODUCT(F61:F70,G61:G70))*1.0775*1.1+H57*1.1,2)</f>
        <v/>
      </c>
    </row>
  </sheetData>
  <mergeCells count="5">
    <mergeCell ref="A7:B7"/>
    <mergeCell ref="A5:B5"/>
    <mergeCell ref="A2:J2"/>
    <mergeCell ref="A8:B8"/>
    <mergeCell ref="A6:B6"/>
  </mergeCells>
  <dataValidations count="1">
    <dataValidation sqref="J61:J70" showDropDown="0" showInputMessage="0" showErrorMessage="0" allowBlank="1" type="list">
      <formula1>"Yes,No"</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2026-10-21T18:57:08Z</dcterms:created>
  <dcterms:modified xmlns:dcterms="http://purl.org/dc/terms/" xmlns:xsi="http://www.w3.org/2001/XMLSchema-instance" xsi:type="dcterms:W3CDTF">2026-10-21T18:57:08Z</dcterms:modified>
</cp:coreProperties>
</file>