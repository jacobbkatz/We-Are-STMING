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Budget summary" sheetId="1" state="visible" r:id="rId3"/>
    <sheet name="Detailed BOM" sheetId="2" state="visible" r:id="rId4"/>
    <sheet name="Vendor-order totals" sheetId="3" state="visible" r:id="rId5"/>
    <sheet name="In-kind and campus" sheetId="4" state="visible" r:id="rId6"/>
    <sheet name="Piezo options" sheetId="5" state="visible" r:id="rId7"/>
    <sheet name="Approach options" sheetId="6" state="visible" r:id="rId8"/>
    <sheet name="Historical receipts" sheetId="7" state="visible" r:id="rId9"/>
    <sheet name="Requirements checklist" sheetId="8" state="visible" r:id="rId10"/>
    <sheet name="Assumptions" sheetId="9" state="visible" r:id="rId11"/>
    <sheet name="Sourc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<sst xmlns="http://schemas.openxmlformats.org/spreadsheetml/2006/main" count="839" uniqueCount="591">
  <si>
    <t xml:space="preserve">STM v2 (UCSD) - budget summary, lean scenario</t>
  </si>
  <si>
    <t xml:space="preserve">Tips and HOPG from UCSD labs, 3D-printed structure, v1-style JLCPCB boards, purchases limited to specialty items. Prices 2026-10-21, USD.</t>
  </si>
  <si>
    <t xml:space="preserve"> </t>
  </si>
  <si>
    <t xml:space="preserve">Line</t>
  </si>
  <si>
    <t xml:space="preserve">Amount</t>
  </si>
  <si>
    <t xml:space="preserve">Notes</t>
  </si>
  <si>
    <t xml:space="preserve">1 Piezo scanner</t>
  </si>
  <si>
    <t xml:space="preserve">2 Coarse approach (stepper on a fine screw)</t>
  </si>
  <si>
    <t xml:space="preserve">3 Circuit boards from JLCPCB (assembled and bare)</t>
  </si>
  <si>
    <t xml:space="preserve">4 Parts bought separately and hand-soldered onto the boards</t>
  </si>
  <si>
    <t xml:space="preserve">5 Power: transformer and batteries</t>
  </si>
  <si>
    <t xml:space="preserve">6 Modules wired in (microcontroller and sensors)</t>
  </si>
  <si>
    <t xml:space="preserve">7 Printed structure, sample plate and isolation</t>
  </si>
  <si>
    <t xml:space="preserve">Purchased components</t>
  </si>
  <si>
    <t xml:space="preserve">Equals the Detailed BOM subtotal</t>
  </si>
  <si>
    <t xml:space="preserve">   of which verified current prices</t>
  </si>
  <si>
    <t xml:space="preserve">   of which v1 invoice prices (mostly the JLCPCB repeat order)</t>
  </si>
  <si>
    <t xml:space="preserve">   of which estimates</t>
  </si>
  <si>
    <t xml:space="preserve">Vendor shipping</t>
  </si>
  <si>
    <t xml:space="preserve">Tariffs and import duties</t>
  </si>
  <si>
    <t xml:space="preserve">JLCPCB 35% is the largest piece</t>
  </si>
  <si>
    <t xml:space="preserve">Carrier import processing fee</t>
  </si>
  <si>
    <t xml:space="preserve">Sales and use tax (7.75%)</t>
  </si>
  <si>
    <t xml:space="preserve">Subtotal before contingency</t>
  </si>
  <si>
    <t xml:space="preserve">Contingency (10%)</t>
  </si>
  <si>
    <t xml:space="preserve">TOTAL REQUEST (lean scenario)</t>
  </si>
  <si>
    <t xml:space="preserve">Ceiling</t>
  </si>
  <si>
    <t xml:space="preserve">Headroom (negative = over)</t>
  </si>
  <si>
    <t xml:space="preserve">Check: total vs Vendor-order totals x 1.10</t>
  </si>
  <si>
    <t xml:space="preserve">Should be 0.00</t>
  </si>
  <si>
    <t xml:space="preserve">Options and their effect</t>
  </si>
  <si>
    <t xml:space="preserve">Stick-slip approach instead of the stepper (not chosen), merchandise</t>
  </si>
  <si>
    <t xml:space="preserve">Piezo option P2: TB3006-N + 2x PiezoDrive PDu150 + 2x PS1 supply</t>
  </si>
  <si>
    <t xml:space="preserve">Piezo option P3: TB3006-N + PiezoDrive TD250-INV (vendor's recommended tube driver)</t>
  </si>
  <si>
    <t xml:space="preserve">Piezo option P4: TB2006-N (20 mm, stiffer) + DIY driver</t>
  </si>
  <si>
    <t xml:space="preserve">Piezo option P5: TB4006-N (40 mm, more range) + DIY driver</t>
  </si>
  <si>
    <t xml:space="preserve">Piezo option P6: Baseline + PiezoDrive factory wiring service</t>
  </si>
  <si>
    <t xml:space="preserve">If campus can't lend silver epoxy (MG 8331D-14G)</t>
  </si>
  <si>
    <t xml:space="preserve">Reference value, In-kind tab</t>
  </si>
  <si>
    <t xml:space="preserve">If campus can't provide a bench supply (v1 paid)</t>
  </si>
  <si>
    <t xml:space="preserve">Earlier scenario, for comparison</t>
  </si>
  <si>
    <t xml:space="preserve">Full build (metal, machined, bought tips and HOPG, hand-assembled boards)</t>
  </si>
  <si>
    <t xml:space="preserve">From STM_v2_budget_full_build.xlsx (2026-10-21, first revision)</t>
  </si>
  <si>
    <t xml:space="preserve">Full build after its four cuts</t>
  </si>
  <si>
    <t xml:space="preserve">Not in the total: everything on the In-kind and campus tab (assumed free, unverified), student labour, printer time.</t>
  </si>
  <si>
    <t xml:space="preserve">STM v2 - purchases only (lean scenario)</t>
  </si>
  <si>
    <t xml:space="preserve">Prices checked 2026-10-21, USD. Every line has a purchase link or says why it has none.</t>
  </si>
  <si>
    <t xml:space="preserve">Item ID</t>
  </si>
  <si>
    <t xml:space="preserve">Subsystem</t>
  </si>
  <si>
    <t xml:space="preserve">Item description</t>
  </si>
  <si>
    <t xml:space="preserve">Manufacturer / part number</t>
  </si>
  <si>
    <t xml:space="preserve">Vendor</t>
  </si>
  <si>
    <t xml:space="preserve">Source link</t>
  </si>
  <si>
    <t xml:space="preserve">Quantity needed</t>
  </si>
  <si>
    <t xml:space="preserve">Purchase unit / pack size</t>
  </si>
  <si>
    <t xml:space="preserve">Quantity purchased</t>
  </si>
  <si>
    <t xml:space="preserve">Unit purchase price</t>
  </si>
  <si>
    <t xml:space="preserve">Extended purchase cost</t>
  </si>
  <si>
    <t xml:space="preserve">Evidence status</t>
  </si>
  <si>
    <t xml:space="preserve">PZ-01</t>
  </si>
  <si>
    <t xml:space="preserve">Piezo tube scanner, 30 mm x 6 mm, quartered electrodes</t>
  </si>
  <si>
    <t xml:space="preserve">PiezoDrive TB3006-N</t>
  </si>
  <si>
    <t xml:space="preserve">PiezoDrive</t>
  </si>
  <si>
    <t xml:space="preserve">https://www.piezodrive.com/product/tb3006-n-29um-range-piezo-tube-scanner/</t>
  </si>
  <si>
    <t xml:space="preserve">each</t>
  </si>
  <si>
    <t xml:space="preserve">Verified - vendor page</t>
  </si>
  <si>
    <t xml:space="preserve">Direct product page. Prof. Vasquez's suggestion (better piezo, possibly a tube); not a confirmed diagnosis and not a guarantee of atomic resolution.</t>
  </si>
  <si>
    <t xml:space="preserve">PZ-02</t>
  </si>
  <si>
    <t xml:space="preserve">Coarse-approach stepper motor, NEMA-17, 200 steps/rev</t>
  </si>
  <si>
    <t xml:space="preserve">Adafruit 324 (12 V, 350 mA)</t>
  </si>
  <si>
    <t xml:space="preserve">Adafruit</t>
  </si>
  <si>
    <t xml:space="preserve">https://www.adafruit.com/product/324</t>
  </si>
  <si>
    <t xml:space="preserve">Direct product page, in stock. Jacob's choice (2026-10-21): stay with a stepper-driven screw instead of stick-slip. Replaces v1's geared 28BYJ-48. Runs from a 12 V bench supply (campus).</t>
  </si>
  <si>
    <t xml:space="preserve">PZ-03</t>
  </si>
  <si>
    <t xml:space="preserve">Stepper driver, microstepping (up to 1/256)</t>
  </si>
  <si>
    <t xml:space="preserve">Adafruit 6121 (TMC2209 breakout)</t>
  </si>
  <si>
    <t xml:space="preserve">https://adafruit.com/product/6121</t>
  </si>
  <si>
    <t xml:space="preserve">Direct product page, in stock. Replaces v1's ULN2003; step/dir from the Teensy. Fine microstepping gives about 6 nm of screw travel per microstep before any lever.</t>
  </si>
  <si>
    <t xml:space="preserve">PZ-04</t>
  </si>
  <si>
    <t xml:space="preserve">Fine-pitch adjuster screws, 1/4-80 (one motor-driven, two hand-set)</t>
  </si>
  <si>
    <t xml:space="preserve">Thorlabs FAS200</t>
  </si>
  <si>
    <t xml:space="preserve">Thorlabs</t>
  </si>
  <si>
    <t xml:space="preserve">https://www.thorlabs.com/thorproduct.cfm?partnumber=FAS200</t>
  </si>
  <si>
    <t xml:space="preserve">Historical - v1 receipt</t>
  </si>
  <si>
    <t xml:space="preserve">Same screws as v1 (three bought 2026-06-24 at $8.78). Thorlabs pages do not load from here, so this is v1's price. 1/4-80 is 317.5 um per turn. v1 ran them in printed threads; matching brass bushings are not priced (U6).</t>
  </si>
  <si>
    <t xml:space="preserve">EL-01</t>
  </si>
  <si>
    <t xml:space="preserve">Controller board, fully assembled (v1 design)</t>
  </si>
  <si>
    <t xml:space="preserve">JLCPCB SMT assembly, v1 controller design</t>
  </si>
  <si>
    <t xml:space="preserve">JLCPCB</t>
  </si>
  <si>
    <t xml:space="preserve">https://jlcpcb.com/</t>
  </si>
  <si>
    <t xml:space="preserve">each (2 min)</t>
  </si>
  <si>
    <t xml:space="preserve">v1 invoice 2026-07-15 unit price. Re-quote not possible from here: JLCPCB prices only after gerber + BOM upload. Parts prices have moved since (e.g. LT1469 now $23.77 and out of stock at LCSC).</t>
  </si>
  <si>
    <t xml:space="preserve">EL-02</t>
  </si>
  <si>
    <t xml:space="preserve">Preamp board, fully assembled (rev 2 gerbers)</t>
  </si>
  <si>
    <t xml:space="preserve">JLCPCB SMT assembly, v1 preamp rev 2</t>
  </si>
  <si>
    <t xml:space="preserve">v1 unit price for the rev 1 preamp. Rev 2 adds 4.7 uF 50 V 1812 caps, a few cents each.</t>
  </si>
  <si>
    <t xml:space="preserve">EL-03</t>
  </si>
  <si>
    <t xml:space="preserve">Bare controller PCBs (as in the v1 order)</t>
  </si>
  <si>
    <t xml:space="preserve">JLCPCB 2-layer</t>
  </si>
  <si>
    <t xml:space="preserve">v1 invoice line.</t>
  </si>
  <si>
    <t xml:space="preserve">EL-04</t>
  </si>
  <si>
    <t xml:space="preserve">Bare preamp PCBs (as in the v1 order)</t>
  </si>
  <si>
    <t xml:space="preserve">HV-04</t>
  </si>
  <si>
    <t xml:space="preserve">HV driver bare PCB (rides the JLCPCB order)</t>
  </si>
  <si>
    <t xml:space="preserve">JLCPCB 2-layer, 5 pcs</t>
  </si>
  <si>
    <t xml:space="preserve">min order 5</t>
  </si>
  <si>
    <t xml:space="preserve">Estimated</t>
  </si>
  <si>
    <t xml:space="preserve">Link is JLCPCB's ordering site; a PCB has no product page until gerbers are uploaded. $2 for five is from a Hack Club guide (undated).</t>
  </si>
  <si>
    <t xml:space="preserve">EL-05</t>
  </si>
  <si>
    <t xml:space="preserve">U21 dual op-amp for the controller board (JLCPCB does not supply it)</t>
  </si>
  <si>
    <t xml:space="preserve">Analog Devices LT1469IN8#PBF</t>
  </si>
  <si>
    <t xml:space="preserve">DigiKey</t>
  </si>
  <si>
    <t xml:space="preserve">https://www.digikey.com/en/products/detail/analog-devices-inc/LT1469IN8-PBF/962892</t>
  </si>
  <si>
    <t xml:space="preserve">v1 bought 2 at DigiKey ($16.35). DigiKey page blocked here; price is Mouser's via an aggregator. URL from search results.</t>
  </si>
  <si>
    <t xml:space="preserve">PA-01</t>
  </si>
  <si>
    <t xml:space="preserve">1 GOhm feedback resistor, soldered across the op-amp pins</t>
  </si>
  <si>
    <t xml:space="preserve">Ohmite SM104031007FE</t>
  </si>
  <si>
    <t xml:space="preserve">https://www.digikey.com/en/products/detail/ohmite/SM104031007FE/824190</t>
  </si>
  <si>
    <t xml:space="preserve">Verified - aggregator listing</t>
  </si>
  <si>
    <t xml:space="preserve">1 + 1 spare (it is the part Baird's change depends on). URL from search results; DigiKey blocks this environment, price via aggregator (1,673 in stock).</t>
  </si>
  <si>
    <t xml:space="preserve">PA-02</t>
  </si>
  <si>
    <t xml:space="preserve">PTFE standoff terminal for the air-wired input node</t>
  </si>
  <si>
    <t xml:space="preserve">Keystone 11301</t>
  </si>
  <si>
    <t xml:space="preserve">https://octopart.com/part/keystone/11301</t>
  </si>
  <si>
    <t xml:space="preserve">NO DIRECT DIGIKEY URL FOUND (DigiKey 36-11301-ND); link is the Octopart listing (Mouser $2.03). v1 paid $2.09 at DigiKey.</t>
  </si>
  <si>
    <t xml:space="preserve">HV-01</t>
  </si>
  <si>
    <t xml:space="preserve">High-voltage op-amp for the piezo driver board, one per channel (5 tube + 1 spare)</t>
  </si>
  <si>
    <t xml:space="preserve">TI OPA454AIDDAR</t>
  </si>
  <si>
    <t xml:space="preserve">LCSC</t>
  </si>
  <si>
    <t xml:space="preserve">https://www.lcsc.com/product-detail/C50636.html</t>
  </si>
  <si>
    <t xml:space="preserve">Direct product page, 241 in stock. The driver circuit is not designed yet.</t>
  </si>
  <si>
    <t xml:space="preserve">HV-03</t>
  </si>
  <si>
    <t xml:space="preserve">Piezo driver board parts: rectifier, filter caps, HV regulators, heatsinks, HV connectors</t>
  </si>
  <si>
    <t xml:space="preserve">not designed</t>
  </si>
  <si>
    <t xml:space="preserve">(no link - see notes)</t>
  </si>
  <si>
    <t xml:space="preserve">lot</t>
  </si>
  <si>
    <t xml:space="preserve">NO PRODUCT LINK: parts not chosen because the circuit is not drawn. Reference prices seen: GBU4J $1.25, Nichicon UVZ2A102 $2.28, TL783 $3.80.</t>
  </si>
  <si>
    <t xml:space="preserve">HV-02</t>
  </si>
  <si>
    <t xml:space="preserve">Transformer for the +/-45-50 V rails</t>
  </si>
  <si>
    <t xml:space="preserve">toroid, secondary not chosen</t>
  </si>
  <si>
    <t xml:space="preserve">Jameco</t>
  </si>
  <si>
    <t xml:space="preserve">https://www.jameco.com/z/182M18-Hammond-Manufacturing-Toroidal-Transformer-120VA-50Hz-Dual-Secondary-36VCT-3-33A-Series-18V-6-66A-Parallel_2575671.html</t>
  </si>
  <si>
    <t xml:space="preserve">NO EXACT PRODUCT PAGE: the secondary voltage is not chosen. The link is the nearest verified part (Hammond 182M18, 2 x 18 V, $67.85), which is NOT the right voltage; used as a price placeholder.</t>
  </si>
  <si>
    <t xml:space="preserve">PA-03</t>
  </si>
  <si>
    <t xml:space="preserve">9 V alkaline batteries for the preamp supply (two give +/-9 V; two spares)</t>
  </si>
  <si>
    <t xml:space="preserve">Energizer MAX 522BP-4, 4-pack</t>
  </si>
  <si>
    <t xml:space="preserve">Battery Junction</t>
  </si>
  <si>
    <t xml:space="preserve">https://batteryjunction.com/batteries/shop-by-size/9v/energizer-522bp-4</t>
  </si>
  <si>
    <t xml:space="preserve">4-pack</t>
  </si>
  <si>
    <t xml:space="preserve">Direct product page, in stock (5 left at check). Any 9 V alkaline works: the OPA627 needs only +/-4.5 V and draws about 7 mA, so a pair lasts roughly 70 hours. Lithium (Energizer L522, $21.95 each at BatteryMart) lasts about twice as long with a flatter voltage, but is not needed.</t>
  </si>
  <si>
    <t xml:space="preserve">PA-04</t>
  </si>
  <si>
    <t xml:space="preserve">9 V battery holder</t>
  </si>
  <si>
    <t xml:space="preserve">Keystone 1294</t>
  </si>
  <si>
    <t xml:space="preserve">https://octopart.com/part/keystone/1294</t>
  </si>
  <si>
    <t xml:space="preserve">NO DIRECT DIGIKEY URL FOUND; link is the Octopart listing (Newark $2.99, in stock). Bought in the DigiKey order.</t>
  </si>
  <si>
    <t xml:space="preserve">EL-06</t>
  </si>
  <si>
    <t xml:space="preserve">Microcontroller</t>
  </si>
  <si>
    <t xml:space="preserve">Teensy 4.1 (SparkFun DEV-16771)</t>
  </si>
  <si>
    <t xml:space="preserve">SparkFun</t>
  </si>
  <si>
    <t xml:space="preserve">https://www.sparkfun.com/teensy-4-1.html</t>
  </si>
  <si>
    <t xml:space="preserve">Direct product page. Headers are campus stock. v1 paid $43.22 on Amazon.</t>
  </si>
  <si>
    <t xml:space="preserve">PA-05</t>
  </si>
  <si>
    <t xml:space="preserve">Temperature sensor, +/-0.1 C (head and preamp)</t>
  </si>
  <si>
    <t xml:space="preserve">Adafruit 4821 (TI TMP117)</t>
  </si>
  <si>
    <t xml:space="preserve">https://adafruit.com/product/4821</t>
  </si>
  <si>
    <t xml:space="preserve">Direct product page, in stock. Checked 2026-10-21: resolution 0.0078 C per step, accuracy +/-0.1 C. Resolution is what matters, since this is for spotting changes, not absolute temperature. A printed loop expands roughly 1 nm per mK (assumes 30-70 ppm/K, about 30 mm of mismatched plastic, not measured), so one step is about 10 nm of drift. Good enough to tell whether drift of tens of nm follows temperature and when the head has settled; no affordable sensor resolves the ~0.1 mK that atom-scale drift corresponds to. Keep its I2C wiring away from the preamp input, or log it standalone (INVENTORY.md). Zahl: monitor temperature; Baird: steady amplifier temperature.</t>
  </si>
  <si>
    <t xml:space="preserve">ME-01</t>
  </si>
  <si>
    <t xml:space="preserve">3D-printing filament for head, sample plate and approach body</t>
  </si>
  <si>
    <t xml:space="preserve">SUNLU PETG-CF (PETG carbon fiber), 1.75 mm, 1 kg</t>
  </si>
  <si>
    <t xml:space="preserve">SUNLU</t>
  </si>
  <si>
    <t xml:space="preserve">https://store.sunlu.com/products/petg-cfpetg-carbon-fiber-3d-printer-filament-1kg</t>
  </si>
  <si>
    <t xml:space="preserve">1 kg spool</t>
  </si>
  <si>
    <t xml:space="preserve">Direct product page, sale price $19.99 (regular $22.99); free US shipping stated. Cheaper than v1's only recorded filament (SUNLU Easy PA nylon, $27.99, 2026-06-21). Carbon fiber is kept because it makes printed parts stiffer and more dimensionally stable than plain PETG; same brand's Easy PA nylon is $34.99. Prusament PETG-CF was $54.99 for the same material class. Zahl advised against plastics in the mechanical loop; printing is Jacob's choice.</t>
  </si>
  <si>
    <t xml:space="preserve">ME-04</t>
  </si>
  <si>
    <t xml:space="preserve">Hardened steel balls for kinematic pivots</t>
  </si>
  <si>
    <t xml:space="preserve">uxcell 52100 G25, 0.18 in, 100 pcs</t>
  </si>
  <si>
    <t xml:space="preserve">Walmart</t>
  </si>
  <si>
    <t xml:space="preserve">https://www.walmart.com/ip/533082272</t>
  </si>
  <si>
    <t xml:space="preserve">100-pack</t>
  </si>
  <si>
    <t xml:space="preserve">Direct product page.</t>
  </si>
  <si>
    <t xml:space="preserve">ME-05</t>
  </si>
  <si>
    <t xml:space="preserve">Magnetic stainless sample discs, 12 mm (HOPG carrier)</t>
  </si>
  <si>
    <t xml:space="preserve">Ted Pella 16208, pack of 50</t>
  </si>
  <si>
    <t xml:space="preserve">Ted Pella</t>
  </si>
  <si>
    <t xml:space="preserve">https://www.tedpella.com/AFM_html/AFM.aspx</t>
  </si>
  <si>
    <t xml:space="preserve">pack of 50</t>
  </si>
  <si>
    <t xml:space="preserve">Catalogue page lists 16208 at $30.00 per 50. Replaces v1's rubber-band/spring plate.</t>
  </si>
  <si>
    <t xml:space="preserve">ME-06</t>
  </si>
  <si>
    <t xml:space="preserve">Sorbothane isolation pads, 0.5 in, 50 duro, 6x6 in</t>
  </si>
  <si>
    <t xml:space="preserve">Sorbothane 0266050-50-10 (2 per pack)</t>
  </si>
  <si>
    <t xml:space="preserve">Isolate It</t>
  </si>
  <si>
    <t xml:space="preserve">https://www.isolateit.com/products/sorbothane-acoustic-and-vibration-isolation-square-6-x-6-pads</t>
  </si>
  <si>
    <t xml:space="preserve">2-pack</t>
  </si>
  <si>
    <t xml:space="preserve">Direct product page; this variant's price was not displayed (only the 0.08 in pad, $24.95).</t>
  </si>
  <si>
    <t xml:space="preserve">Components subtotal</t>
  </si>
  <si>
    <t xml:space="preserve">Vendor and order totals</t>
  </si>
  <si>
    <t xml:space="preserve">One order per vendor; shipping, tariff and tax are per order, never assigned to one item.</t>
  </si>
  <si>
    <t xml:space="preserve">Merchandise</t>
  </si>
  <si>
    <t xml:space="preserve">Shipping</t>
  </si>
  <si>
    <t xml:space="preserve">Shipping basis</t>
  </si>
  <si>
    <t xml:space="preserve">Shipping note</t>
  </si>
  <si>
    <t xml:space="preserve">Tariff rate</t>
  </si>
  <si>
    <t xml:space="preserve">Tariff / duty</t>
  </si>
  <si>
    <t xml:space="preserve">Tariff basis</t>
  </si>
  <si>
    <t xml:space="preserve">Sales or use tax</t>
  </si>
  <si>
    <t xml:space="preserve">Order total</t>
  </si>
  <si>
    <t xml:space="preserve">No rate on the site (DAP from Australia).</t>
  </si>
  <si>
    <t xml:space="preserve">10% provisional US tariff assumed; carrier fee in the Fees row.</t>
  </si>
  <si>
    <t xml:space="preserve">v1 Thorlabs order shipping, 2026-06-24</t>
  </si>
  <si>
    <t xml:space="preserve">Ships from the US</t>
  </si>
  <si>
    <t xml:space="preserve">v1 DHL shipping for the same order.</t>
  </si>
  <si>
    <t xml:space="preserve">JLC tariff page: 35% on PCB/SMT (v1 paid $163.48, about 32%).</t>
  </si>
  <si>
    <t xml:space="preserve">v1 DigiKey standard shipping.</t>
  </si>
  <si>
    <t xml:space="preserve">v1 receipts: ~8% tariff surcharge on ICs.</t>
  </si>
  <si>
    <t xml:space="preserve">Forum report Dec 2025.</t>
  </si>
  <si>
    <t xml:space="preserve">JLC group's 35% PCB/SMT rate as proxy.</t>
  </si>
  <si>
    <t xml:space="preserve">Store states free shipping to most of the US</t>
  </si>
  <si>
    <t xml:space="preserve">Carrier import processing fee (PiezoDrive)</t>
  </si>
  <si>
    <t xml:space="preserve">PiezoDrive: carriers may charge USD 30-100</t>
  </si>
  <si>
    <t xml:space="preserve">ALL ORDERS</t>
  </si>
  <si>
    <t xml:space="preserve">Check: merchandise equals the BOM subtotal</t>
  </si>
  <si>
    <t xml:space="preserve">(should be 0.00)</t>
  </si>
  <si>
    <t xml:space="preserve">Moved out of the purchase list</t>
  </si>
  <si>
    <t xml:space="preserve">Not in the total. Reference values show what each would cost if a lab can't provide it.</t>
  </si>
  <si>
    <t xml:space="preserve">Item</t>
  </si>
  <si>
    <t xml:space="preserve">Treatment</t>
  </si>
  <si>
    <t xml:space="preserve">Reference value if bought</t>
  </si>
  <si>
    <t xml:space="preserve">Reference source</t>
  </si>
  <si>
    <t xml:space="preserve">Note</t>
  </si>
  <si>
    <t xml:space="preserve">Pt/Ir tip wire</t>
  </si>
  <si>
    <t xml:space="preserve">In-kind from a UCSD lab</t>
  </si>
  <si>
    <t xml:space="preserve">https://store.bruker.com/products/dpt10</t>
  </si>
  <si>
    <t xml:space="preserve">Reference: Bruker DPT10 10 cut tips $277.20; Advent 0.25 mm x 0.2 m wire $297.00. Jacob: sourced from UCSD.</t>
  </si>
  <si>
    <t xml:space="preserve">HOPG sample</t>
  </si>
  <si>
    <t xml:space="preserve">https://www.nanoandmore.com/AFM-Accessories-HOPG-ZYH</t>
  </si>
  <si>
    <t xml:space="preserve">Reference: NanoAndMore ZYH 10x10x1 mm $77.00. Jacob: sourced from UCSD.</t>
  </si>
  <si>
    <t xml:space="preserve">Machining</t>
  </si>
  <si>
    <t xml:space="preserve">Not needed</t>
  </si>
  <si>
    <t xml:space="preserve">All structure is 3D printed; no machined parts, no shop fees.</t>
  </si>
  <si>
    <t xml:space="preserve">3D printer time</t>
  </si>
  <si>
    <t xml:space="preserve">Campus (assumed)</t>
  </si>
  <si>
    <t xml:space="preserve">https://jacobsschool.ucsd.edu/envision</t>
  </si>
  <si>
    <t xml:space="preserve">EnVision has 3D printers; fees not stated and Jacob's eligibility unconfirmed. Filament is purchased (ME-01).</t>
  </si>
  <si>
    <t xml:space="preserve">Granite base or optical breadboard</t>
  </si>
  <si>
    <t xml:space="preserve">https://www.penntoolco.com/grizzly-9-x-12-x-2-granite-surface-plate-no-ledge-g9649/</t>
  </si>
  <si>
    <t xml:space="preserve">Reference if bought: Grizzly G9649 $75.15 + freight.</t>
  </si>
  <si>
    <t xml:space="preserve">Bench power supply (+/-15 V class)</t>
  </si>
  <si>
    <t xml:space="preserve">v1 bought a $42.74 supply.</t>
  </si>
  <si>
    <t xml:space="preserve">Oscilloscope, multimeter, soldering station, hot air</t>
  </si>
  <si>
    <t xml:space="preserve">https://mae156b.eng.ucsd.edu/mae156-resources/mae-undergrad-lab-resources/lab-shops/ucsd-lab-shop-resources-outside-of-mae</t>
  </si>
  <si>
    <t xml:space="preserve">EnVision lists soldering stations and oscilloscopes.</t>
  </si>
  <si>
    <t xml:space="preserve">Silver epoxy or silver paint for mounting HOPG</t>
  </si>
  <si>
    <t xml:space="preserve">Reference if bought: MG 8331D-14G $133.13 (DigiKey via aggregator).</t>
  </si>
  <si>
    <t xml:space="preserve">Wire (40 AWG magnet wire, 30 AWG Kynar), coax, hook-up wire</t>
  </si>
  <si>
    <t xml:space="preserve">Common lab stock.</t>
  </si>
  <si>
    <t xml:space="preserve">Connectors, headers, DIP sockets, ribbon/USB/DB9 cables</t>
  </si>
  <si>
    <t xml:space="preserve">Common lab stock; v1 spent about $50 on these on Amazon.</t>
  </si>
  <si>
    <t xml:space="preserve">Fasteners, springs, small magnets, BeCu or steel shim for clips</t>
  </si>
  <si>
    <t xml:space="preserve">Consumables: IPA, acetone, flux, solder, wipes, gloves, tape, copper tape</t>
  </si>
  <si>
    <t xml:space="preserve">Chemistry stockroom sells against a project number; v1 lessons (99% IPA, RMA flux, copper tape) still apply.</t>
  </si>
  <si>
    <t xml:space="preserve">Tools: flush cutters, tweezers, ESD strap</t>
  </si>
  <si>
    <t xml:space="preserve">Shield enclosures</t>
  </si>
  <si>
    <t xml:space="preserve">Die-cast box or copper tape from lab stock.</t>
  </si>
  <si>
    <t xml:space="preserve">Piezo purchasing options with dependencies</t>
  </si>
  <si>
    <t xml:space="preserve">Merchandise only. DIY driver = BOM lines HV-01 to HV-04. The total uses P1.</t>
  </si>
  <si>
    <t xml:space="preserve">Option</t>
  </si>
  <si>
    <t xml:space="preserve">Description</t>
  </si>
  <si>
    <t xml:space="preserve">Tube</t>
  </si>
  <si>
    <t xml:space="preserve">Tube price</t>
  </si>
  <si>
    <t xml:space="preserve">Driver / dependencies</t>
  </si>
  <si>
    <t xml:space="preserve">Driver cost</t>
  </si>
  <si>
    <t xml:space="preserve">Extra services</t>
  </si>
  <si>
    <t xml:space="preserve">Option total</t>
  </si>
  <si>
    <t xml:space="preserve">Change vs P1</t>
  </si>
  <si>
    <t xml:space="preserve">Est. XY (um)</t>
  </si>
  <si>
    <t xml:space="preserve">Est. Z (um)</t>
  </si>
  <si>
    <t xml:space="preserve">P1</t>
  </si>
  <si>
    <t xml:space="preserve">Baseline: TB3006-N + DIY 5-channel OPA454 driver at +/-45 V</t>
  </si>
  <si>
    <t xml:space="preserve">TB3006-N</t>
  </si>
  <si>
    <t xml:space="preserve">DIY OPA454 linear driver (HVD-01..07, provisional)</t>
  </si>
  <si>
    <t xml:space="preserve">~5.0</t>
  </si>
  <si>
    <t xml:space="preserve">~1.1</t>
  </si>
  <si>
    <t xml:space="preserve">Lowest cost. Range scales with voltage: about 29*(45/260)=5.0 um XY and 6.3*(45/260)=1.1 um Z if linear (estimate from PiezoDrive's spec at +/-260 V). Driver is an undesigned new circuit.</t>
  </si>
  <si>
    <t xml:space="preserve">P2</t>
  </si>
  <si>
    <t xml:space="preserve">TB3006-N + 2x PiezoDrive PDu150 + 2x PS1 supply</t>
  </si>
  <si>
    <t xml:space="preserve">2x PDu150 ($413) + 2x PS1 ($33)</t>
  </si>
  <si>
    <t xml:space="preserve">~13-16 (est.)</t>
  </si>
  <si>
    <t xml:space="preserve">~3 (est.)</t>
  </si>
  <si>
    <t xml:space="preserve">Commercial, low noise (26 uV). Output is -30 to +150 V (unipolar), 3 channels per module, so 5 tube channels need two modules. PiezoDrive does not state how to wire it to a quartered tube. One PS1 per module assumed.</t>
  </si>
  <si>
    <t xml:space="preserve">P3</t>
  </si>
  <si>
    <t xml:space="preserve">TB3006-N + PiezoDrive TD250-INV (vendor's recommended tube driver)</t>
  </si>
  <si>
    <t xml:space="preserve">TD250-INV</t>
  </si>
  <si>
    <t xml:space="preserve">29 (spec)</t>
  </si>
  <si>
    <t xml:space="preserve">6.3 (spec, half if Z shares)</t>
  </si>
  <si>
    <t xml:space="preserve">PiezoDrive's own recommendation for tube scanners. Alone it exceeds the $2,000 ceiling.</t>
  </si>
  <si>
    <t xml:space="preserve">P4</t>
  </si>
  <si>
    <t xml:space="preserve">TB2006-N (20 mm, stiffer) + DIY driver</t>
  </si>
  <si>
    <t xml:space="preserve">TB2006-N</t>
  </si>
  <si>
    <t xml:space="preserve">DIY OPA454 driver</t>
  </si>
  <si>
    <t xml:space="preserve">~2.3</t>
  </si>
  <si>
    <t xml:space="preserve">~0.7</t>
  </si>
  <si>
    <t xml:space="preserve">Shorter tube: less range (13 um XY spec), higher resonance. Saves $20.</t>
  </si>
  <si>
    <t xml:space="preserve">P5</t>
  </si>
  <si>
    <t xml:space="preserve">TB4006-N (40 mm, more range) + DIY driver</t>
  </si>
  <si>
    <t xml:space="preserve">TB4006-N</t>
  </si>
  <si>
    <t xml:space="preserve">~8.8</t>
  </si>
  <si>
    <t xml:space="preserve">~1.3</t>
  </si>
  <si>
    <t xml:space="preserve">More XY range (51 um spec), lower resonance.</t>
  </si>
  <si>
    <t xml:space="preserve">P6</t>
  </si>
  <si>
    <t xml:space="preserve">Baseline + PiezoDrive factory wiring service</t>
  </si>
  <si>
    <t xml:space="preserve">Horizontal Tube Wiring service $100 (vertical wiring price not loaded). Removes hand-soldering of electrode leads.</t>
  </si>
  <si>
    <t xml:space="preserve">Coarse approach and sample plate</t>
  </si>
  <si>
    <t xml:space="preserve">Jacob's choice (2026-10-21): a stepper-driven fine screw, not stick-slip. v1's rubber-band/spring plate and geared 28BYJ-48 are retired.</t>
  </si>
  <si>
    <t xml:space="preserve">Chosen: stepper on a 1/4-80 screw = PZ-02 + PZ-03 + PZ-04</t>
  </si>
  <si>
    <t xml:space="preserve">   Motor: NEMA-17 (Adafruit 324) with a TMC2209 driver at up to 1/256 microstepping, about 6 nm of screw travel per microstep before any lever</t>
  </si>
  <si>
    <t xml:space="preserve">   Two hand-set 1/4-80 screws and the motor screw form the tripod, with steel-ball pivots (ME-04)</t>
  </si>
  <si>
    <t xml:space="preserve">Not chosen, for the record: piezo stick-slip slider</t>
  </si>
  <si>
    <t xml:space="preserve">Part</t>
  </si>
  <si>
    <t xml:space="preserve">Link</t>
  </si>
  <si>
    <t xml:space="preserve">Qty</t>
  </si>
  <si>
    <t xml:space="preserve">Unit</t>
  </si>
  <si>
    <t xml:space="preserve">Extended</t>
  </si>
  <si>
    <t xml:space="preserve">Status</t>
  </si>
  <si>
    <t xml:space="preserve">Piezo stack</t>
  </si>
  <si>
    <t xml:space="preserve">PiezoDrive SA050510</t>
  </si>
  <si>
    <t xml:space="preserve">https://www.piezodrive.com/product/150v-5x5x10mm-piezo-stack-actuator-sa050510/</t>
  </si>
  <si>
    <t xml:space="preserve">Also needed a sawtooth HV channel</t>
  </si>
  <si>
    <t xml:space="preserve">Sapphire contacts, 2 mm</t>
  </si>
  <si>
    <t xml:space="preserve">Edmund Optics 43-642</t>
  </si>
  <si>
    <t xml:space="preserve">https://www.edmundoptics.com/p/20mm-diameter-sapphire-ball-lens/5174/</t>
  </si>
  <si>
    <t xml:space="preserve">Ground guide rod</t>
  </si>
  <si>
    <t xml:space="preserve">OnlineMetals W1 drill rod 1/8 in</t>
  </si>
  <si>
    <t xml:space="preserve">https://www.onlinemetals.com/en/buy/tool-steel-drill-rod-w1</t>
  </si>
  <si>
    <t xml:space="preserve">Stick-slip parts total (merchandise, plus one OPA454 channel)</t>
  </si>
  <si>
    <t xml:space="preserve">Difference vs the chosen stepper drive (positive = stick-slip costs more)</t>
  </si>
  <si>
    <t xml:space="preserve">Sample plate: printed rigid plate + magnetic 12 mm steel disc (ME-05) on lab magnets; HOPG mounted with lab silver epoxy/paint (Baird) or clipped (Zahl's sketch). No springs or rubber bands.</t>
  </si>
  <si>
    <t xml:space="preserve">v1 purchases (historical prices)</t>
  </si>
  <si>
    <t xml:space="preserve">Order-level shipping, discount and tax allocated by line merchandise; line-specific tariffs used where shown.</t>
  </si>
  <si>
    <t xml:space="preserve">Order</t>
  </si>
  <si>
    <t xml:space="preserve">Date</t>
  </si>
  <si>
    <t xml:space="preserve">Manufacturer / part</t>
  </si>
  <si>
    <t xml:space="preserve">Line merchandise</t>
  </si>
  <si>
    <t xml:space="preserve">Alloc. discount</t>
  </si>
  <si>
    <t xml:space="preserve">Alloc. shipping</t>
  </si>
  <si>
    <t xml:space="preserve">Tariff / import tax</t>
  </si>
  <si>
    <t xml:space="preserve">Alloc. sales tax</t>
  </si>
  <si>
    <t xml:space="preserve">Landed line cost</t>
  </si>
  <si>
    <t xml:space="preserve">Landed unit cost</t>
  </si>
  <si>
    <t xml:space="preserve">v2 line</t>
  </si>
  <si>
    <t xml:space="preserve">Evidence</t>
  </si>
  <si>
    <t xml:space="preserve">2026-07-15</t>
  </si>
  <si>
    <t xml:space="preserve">2-layer bare STM controller PCB</t>
  </si>
  <si>
    <t xml:space="preserve">Vendor invoice (kept private)</t>
  </si>
  <si>
    <t xml:space="preserve">Bare preamp PCB (OPA627)</t>
  </si>
  <si>
    <t xml:space="preserve">Assembled controller board SMT assembly, v1 controller design</t>
  </si>
  <si>
    <t xml:space="preserve">Assembled preamp board SMT assembly, v1 preamp rev 2</t>
  </si>
  <si>
    <t xml:space="preserve">2026-06-24</t>
  </si>
  <si>
    <t xml:space="preserve">FAS200 2 in ultra-fine adjustment screw 1/4-80</t>
  </si>
  <si>
    <t xml:space="preserve">Approach scenario B</t>
  </si>
  <si>
    <t xml:space="preserve">2026-07-18</t>
  </si>
  <si>
    <t xml:space="preserve">LT1469IN8#PBF dual op-amp</t>
  </si>
  <si>
    <t xml:space="preserve">Analog Devices</t>
  </si>
  <si>
    <t xml:space="preserve">DB9 receptacle A-DF 09 A/KG-T4S</t>
  </si>
  <si>
    <t xml:space="preserve">Assmann</t>
  </si>
  <si>
    <t xml:space="preserve">CTL-28 (different part)</t>
  </si>
  <si>
    <t xml:space="preserve">2026-08-02</t>
  </si>
  <si>
    <t xml:space="preserve">Keystone 11311</t>
  </si>
  <si>
    <t xml:space="preserve">Keystone</t>
  </si>
  <si>
    <t xml:space="preserve">(not in v2)</t>
  </si>
  <si>
    <t xml:space="preserve">2026-09-09</t>
  </si>
  <si>
    <t xml:space="preserve">Invoiced orders total</t>
  </si>
  <si>
    <t xml:space="preserve">Check vs invoice totals ($832.10)</t>
  </si>
  <si>
    <t xml:space="preserve">Amazon purchases (42 small orders: tools, consumables, hardware; line items kept private)</t>
  </si>
  <si>
    <t xml:space="preserve">Amazon total</t>
  </si>
  <si>
    <t xml:space="preserve">v1 total</t>
  </si>
  <si>
    <t xml:space="preserve">Requirements checklist (lean scenario)</t>
  </si>
  <si>
    <t xml:space="preserve">ID</t>
  </si>
  <si>
    <t xml:space="preserve">Requirement</t>
  </si>
  <si>
    <t xml:space="preserve">Source</t>
  </si>
  <si>
    <t xml:space="preserve">Where it is</t>
  </si>
  <si>
    <t xml:space="preserve">R01</t>
  </si>
  <si>
    <t xml:space="preserve">Total under $2,000</t>
  </si>
  <si>
    <t xml:space="preserve">Jacob</t>
  </si>
  <si>
    <t xml:space="preserve">Budget summary</t>
  </si>
  <si>
    <t xml:space="preserve">See total vs ceiling</t>
  </si>
  <si>
    <t xml:space="preserve">R02</t>
  </si>
  <si>
    <t xml:space="preserve">Built at UCSD; campus items listed, not hidden</t>
  </si>
  <si>
    <t xml:space="preserve">In-kind and campus tab</t>
  </si>
  <si>
    <t xml:space="preserve">Covered (assumed, unverified)</t>
  </si>
  <si>
    <t xml:space="preserve">R03</t>
  </si>
  <si>
    <t xml:space="preserve">No reuse of v1 parts</t>
  </si>
  <si>
    <t xml:space="preserve">All lines are new purchases; JLCPCB order is a new order</t>
  </si>
  <si>
    <t xml:space="preserve">Covered</t>
  </si>
  <si>
    <t xml:space="preserve">R04</t>
  </si>
  <si>
    <t xml:space="preserve">Tip wire and HOPG from UCSD; printed structure; v1-style JLCPCB boards; filament bought</t>
  </si>
  <si>
    <t xml:space="preserve">In-kind tab; ME-01; EL-01..04</t>
  </si>
  <si>
    <t xml:space="preserve">R05</t>
  </si>
  <si>
    <t xml:space="preserve">Better piezo, possibly a tube (Vasquez), not a confirmed diagnosis</t>
  </si>
  <si>
    <t xml:space="preserve">Vasquez</t>
  </si>
  <si>
    <t xml:space="preserve">PZ-01, Piezo options</t>
  </si>
  <si>
    <t xml:space="preserve">R06</t>
  </si>
  <si>
    <t xml:space="preserve">Piezo dependencies priced (driver, power, extra channels)</t>
  </si>
  <si>
    <t xml:space="preserve">HV-01..04, Piezo options</t>
  </si>
  <si>
    <t xml:space="preserve">Covered; driver provisional</t>
  </si>
  <si>
    <t xml:space="preserve">R07</t>
  </si>
  <si>
    <t xml:space="preserve">Sample plate replaced, not v1's springs; coarse approach stays a stepper (Jacob)</t>
  </si>
  <si>
    <t xml:space="preserve">PZ-02..04, ME-04, ME-05, Approach options</t>
  </si>
  <si>
    <t xml:space="preserve">R08</t>
  </si>
  <si>
    <t xml:space="preserve">Every purchased line has a direct link or says why not</t>
  </si>
  <si>
    <t xml:space="preserve">Detailed BOM 'Source link'</t>
  </si>
  <si>
    <t xml:space="preserve">Covered; 4 lines explain missing direct links</t>
  </si>
  <si>
    <t xml:space="preserve">R09</t>
  </si>
  <si>
    <t xml:space="preserve">Temperature monitoring; enclosure</t>
  </si>
  <si>
    <t xml:space="preserve">Zahl</t>
  </si>
  <si>
    <t xml:space="preserve">PA-05; enclosure from campus stock</t>
  </si>
  <si>
    <t xml:space="preserve">R10</t>
  </si>
  <si>
    <t xml:space="preserve">No plastics in the mechanical loop</t>
  </si>
  <si>
    <t xml:space="preserve">Conflicts with the printed structure</t>
  </si>
  <si>
    <t xml:space="preserve">OPEN - flagged (U4)</t>
  </si>
  <si>
    <t xml:space="preserve">R11</t>
  </si>
  <si>
    <t xml:space="preserve">Steel balls at pivots; stiff screw drive</t>
  </si>
  <si>
    <t xml:space="preserve">ME-04; PZ-04</t>
  </si>
  <si>
    <t xml:space="preserve">R12</t>
  </si>
  <si>
    <t xml:space="preserve">1 GOhm feedback + ~1.6 pF; batteries; ceramic caps; shielding</t>
  </si>
  <si>
    <t xml:space="preserve">Baird</t>
  </si>
  <si>
    <t xml:space="preserve">PA-01, PA-03, PA-04; caps on rev 2 board; shield from campus</t>
  </si>
  <si>
    <t xml:space="preserve">R13</t>
  </si>
  <si>
    <t xml:space="preserve">Cut Pt/Ir tips; HOPG on conductive epoxy / steel disc</t>
  </si>
  <si>
    <t xml:space="preserve">In-kind wire/HOPG/epoxy; ME-05</t>
  </si>
  <si>
    <t xml:space="preserve">R14</t>
  </si>
  <si>
    <t xml:space="preserve">Scope the preamp output</t>
  </si>
  <si>
    <t xml:space="preserve">Campus oscilloscope (assumed)</t>
  </si>
  <si>
    <t xml:space="preserve">Campus, unverified</t>
  </si>
  <si>
    <t xml:space="preserve">R15</t>
  </si>
  <si>
    <t xml:space="preserve">Shipping, tariffs, tax, contingency, pack sizes</t>
  </si>
  <si>
    <t xml:space="preserve">Vendor-order totals; Budget summary</t>
  </si>
  <si>
    <t xml:space="preserve">R16</t>
  </si>
  <si>
    <t xml:space="preserve">Earlier full-build scenario kept for comparison</t>
  </si>
  <si>
    <t xml:space="preserve">Coordinator</t>
  </si>
  <si>
    <t xml:space="preserve">Budget summary + STM_v2_budget_full_build.xlsx</t>
  </si>
  <si>
    <t xml:space="preserve">Assumptions and unresolved costs</t>
  </si>
  <si>
    <t xml:space="preserve">Cells B5-B9 drive formulas on other tabs.</t>
  </si>
  <si>
    <t xml:space="preserve">Parameter</t>
  </si>
  <si>
    <t xml:space="preserve">Value</t>
  </si>
  <si>
    <t xml:space="preserve">Basis</t>
  </si>
  <si>
    <t xml:space="preserve">California sales/use tax, City of San Diego</t>
  </si>
  <si>
    <t xml:space="preserve">Applied to all merchandise</t>
  </si>
  <si>
    <t xml:space="preserve">https://trykintsugi.com/sales-tax-guides/usa/california/san-diego-county.md</t>
  </si>
  <si>
    <t xml:space="preserve">Contingency</t>
  </si>
  <si>
    <t xml:space="preserve">10% for price drift and breakage</t>
  </si>
  <si>
    <t xml:space="preserve">Carrier import processing fee (PiezoDrive, DAP)</t>
  </si>
  <si>
    <t xml:space="preserve">Midpoint of PiezoDrive's stated $30-100</t>
  </si>
  <si>
    <t xml:space="preserve">https://www.piezodrive.com/?p=991</t>
  </si>
  <si>
    <t xml:space="preserve">(unused in this scenario) machining rate $/hr</t>
  </si>
  <si>
    <t xml:space="preserve">Structure is printed; kept for reference</t>
  </si>
  <si>
    <t xml:space="preserve">https://mpl.ucsd.edu/machine-shop-info/</t>
  </si>
  <si>
    <t xml:space="preserve">Budget ceiling</t>
  </si>
  <si>
    <t xml:space="preserve">Jacob's requirement</t>
  </si>
  <si>
    <t xml:space="preserve">Scenario assumptions (Jacob, 2026-10-21)</t>
  </si>
  <si>
    <t xml:space="preserve">Pt/Ir wire and HOPG come from UCSD labs (in-kind).</t>
  </si>
  <si>
    <t xml:space="preserve">Everything structural is 3D printed; nothing is machined. Filament is purchased.</t>
  </si>
  <si>
    <t xml:space="preserve">Electronics repeat v1's JLCPCB order: 2 controller boards and 2 preamps, fully placed. This is a new purchase, priced from the 2026-07-15 invoice.</t>
  </si>
  <si>
    <t xml:space="preserve">Purchases are limited to what a lab doesn't readily have: batteries, the piezo and its driver, and other specialty parts. Commodity lab items are listed on 'In-kind and campus' as assumed campus stock.</t>
  </si>
  <si>
    <t xml:space="preserve">Unresolved items</t>
  </si>
  <si>
    <t xml:space="preserve">What is unknown</t>
  </si>
  <si>
    <t xml:space="preserve">Detail</t>
  </si>
  <si>
    <t xml:space="preserve">Current treatment</t>
  </si>
  <si>
    <t xml:space="preserve">Effect on the total</t>
  </si>
  <si>
    <t xml:space="preserve">What would resolve it</t>
  </si>
  <si>
    <t xml:space="preserve">U1</t>
  </si>
  <si>
    <t xml:space="preserve">HV driver design</t>
  </si>
  <si>
    <t xml:space="preserve">Not drawn; only the op-amps are priced exactly</t>
  </si>
  <si>
    <t xml:space="preserve">HV-01..04: $158.20 incl. transformer placeholder</t>
  </si>
  <si>
    <t xml:space="preserve">Could move +/-$50; commercial PDu150 modules instead add about $734</t>
  </si>
  <si>
    <t xml:space="preserve">Draw the schematic, then itemize with links</t>
  </si>
  <si>
    <t xml:space="preserve">U2</t>
  </si>
  <si>
    <t xml:space="preserve">JLCPCB price today</t>
  </si>
  <si>
    <t xml:space="preserve">Can't re-quote without uploading gerbers and BOM</t>
  </si>
  <si>
    <t xml:space="preserve">v1 unit prices + today's 35% tariff</t>
  </si>
  <si>
    <t xml:space="preserve">Part prices have moved; likely +/-10% on $497</t>
  </si>
  <si>
    <t xml:space="preserve">Upload the v1 files to JLCPCB for a quote</t>
  </si>
  <si>
    <t xml:space="preserve">U3</t>
  </si>
  <si>
    <t xml:space="preserve">Campus items really free</t>
  </si>
  <si>
    <t xml:space="preserve">Printers, supply, scope, epoxy, wire, stock not confirmed</t>
  </si>
  <si>
    <t xml:space="preserve">$0</t>
  </si>
  <si>
    <t xml:space="preserve">Bench supply ~$43+, epoxy $133 if a lab can't lend</t>
  </si>
  <si>
    <t xml:space="preserve">Confirm with Prof. Vasquez's lab</t>
  </si>
  <si>
    <t xml:space="preserve">U4</t>
  </si>
  <si>
    <t xml:space="preserve">Printed structure vs Zahl's advice</t>
  </si>
  <si>
    <t xml:space="preserve">Zahl: no plastics in the mechanical loop</t>
  </si>
  <si>
    <t xml:space="preserve">Printed (Jacob's choice)</t>
  </si>
  <si>
    <t xml:space="preserve">Metal parts would bring back machining or stock cost</t>
  </si>
  <si>
    <t xml:space="preserve">Decide with the advisers; ceramic/metal inserts at the tip-sample loop</t>
  </si>
  <si>
    <t xml:space="preserve">U5</t>
  </si>
  <si>
    <t xml:space="preserve">Filament choice</t>
  </si>
  <si>
    <t xml:space="preserve">PETG-CF vs nylon-CF</t>
  </si>
  <si>
    <t xml:space="preserve">PETG-CF 1 kg $54.99</t>
  </si>
  <si>
    <t xml:space="preserve">Nylon-CF is similar or a bit more</t>
  </si>
  <si>
    <t xml:space="preserve">Pick based on the campus printer</t>
  </si>
  <si>
    <t xml:space="preserve">U6</t>
  </si>
  <si>
    <t xml:space="preserve">Screw bushings</t>
  </si>
  <si>
    <t xml:space="preserve">v1 ran the 1/4-80 screws in printed threads, which wear</t>
  </si>
  <si>
    <t xml:space="preserve">None priced</t>
  </si>
  <si>
    <t xml:space="preserve">Brass 1/4-80 bushings would add a few dollars each</t>
  </si>
  <si>
    <t xml:space="preserve">Price Thorlabs or Newport bushings when their pages load</t>
  </si>
  <si>
    <t xml:space="preserve">U7</t>
  </si>
  <si>
    <t xml:space="preserve">PiezoDrive shipping and duty</t>
  </si>
  <si>
    <t xml:space="preserve">No rate shown; DAP</t>
  </si>
  <si>
    <t xml:space="preserve">$60 + 10% + $65 carrier fee</t>
  </si>
  <si>
    <t xml:space="preserve">+/- $50</t>
  </si>
  <si>
    <t xml:space="preserve">Ask PiezoDrive for a delivered quote</t>
  </si>
  <si>
    <t xml:space="preserve">U8</t>
  </si>
  <si>
    <t xml:space="preserve">Sorbothane price</t>
  </si>
  <si>
    <t xml:space="preserve">Variant price not displayed</t>
  </si>
  <si>
    <t xml:space="preserve">$35 estimate</t>
  </si>
  <si>
    <t xml:space="preserve">+/- $10</t>
  </si>
  <si>
    <t xml:space="preserve">Check the cart</t>
  </si>
  <si>
    <t xml:space="preserve">Sources</t>
  </si>
  <si>
    <t xml:space="preserve">Vendor's own page loaded on 2026-10-21 and showed the price.</t>
  </si>
  <si>
    <t xml:space="preserve">Octopart/Findchips loaded and showed the distributor's price; distributor site blocked here.</t>
  </si>
  <si>
    <t xml:space="preserve">What v1 paid; used where no current price could be obtained.</t>
  </si>
  <si>
    <t xml:space="preserve">No price page, or part not chosen; note gives the basis.</t>
  </si>
  <si>
    <t xml:space="preserve">Item or topic</t>
  </si>
  <si>
    <t xml:space="preserve">PZ-01 PiezoDrive TB3006-N</t>
  </si>
  <si>
    <t xml:space="preserve">PZ-02 Adafruit 324 (12 V, 350 mA)</t>
  </si>
  <si>
    <t xml:space="preserve">PZ-03 Adafruit 6121 (TMC2209 breakout)</t>
  </si>
  <si>
    <t xml:space="preserve">PZ-04 Thorlabs FAS200</t>
  </si>
  <si>
    <t xml:space="preserve">EL-01 JLCPCB SMT assembly, v1 controller design</t>
  </si>
  <si>
    <t xml:space="preserve">EL-02 JLCPCB SMT assembly, v1 preamp rev 2</t>
  </si>
  <si>
    <t xml:space="preserve">EL-03 JLCPCB 2-layer</t>
  </si>
  <si>
    <t xml:space="preserve">EL-04 JLCPCB 2-layer</t>
  </si>
  <si>
    <t xml:space="preserve">HV-04 JLCPCB 2-layer, 5 pcs</t>
  </si>
  <si>
    <t xml:space="preserve">EL-05 Analog Devices LT1469IN8#PBF</t>
  </si>
  <si>
    <t xml:space="preserve">PA-01 Ohmite SM104031007FE</t>
  </si>
  <si>
    <t xml:space="preserve">PA-02 Keystone 11301</t>
  </si>
  <si>
    <t xml:space="preserve">HV-01 TI OPA454AIDDAR</t>
  </si>
  <si>
    <t xml:space="preserve">HV-03 not designed</t>
  </si>
  <si>
    <t xml:space="preserve">no link - see BOM note</t>
  </si>
  <si>
    <t xml:space="preserve">HV-02 toroid, secondary not chosen</t>
  </si>
  <si>
    <t xml:space="preserve">PA-03 Energizer MAX 522BP-4, 4-pack</t>
  </si>
  <si>
    <t xml:space="preserve">PA-04 Keystone 1294</t>
  </si>
  <si>
    <t xml:space="preserve">EL-06 Teensy 4.1 (SparkFun DEV-16771)</t>
  </si>
  <si>
    <t xml:space="preserve">PA-05 Adafruit 4821 (TI TMP117)</t>
  </si>
  <si>
    <t xml:space="preserve">ME-01 SUNLU PETG-CF (PETG carbon fiber), 1.75 mm, 1 kg</t>
  </si>
  <si>
    <t xml:space="preserve">ME-04 uxcell 52100 G25, 0.18 in, 100 pcs</t>
  </si>
  <si>
    <t xml:space="preserve">ME-05 Ted Pella 16208, pack of 50</t>
  </si>
  <si>
    <t xml:space="preserve">ME-06 Sorbothane 0266050-50-10 (2 per pack)</t>
  </si>
  <si>
    <t xml:space="preserve">JLCPCB US tariff rates (35% PCB/SMT, 90% stencils, effective 2026-03-17)</t>
  </si>
  <si>
    <t xml:space="preserve">https://jlc3dp.com/help/article/us-tariff-policy-faq</t>
  </si>
  <si>
    <t xml:space="preserve">PiezoDrive shipping terms (DAP, duties extra, carrier fee $30-100)</t>
  </si>
  <si>
    <t xml:space="preserve">PiezoDrive tube scanner specs and drive recommendation (TD250-INV)</t>
  </si>
  <si>
    <t xml:space="preserve">https://www.piezodrive.com/piezoelectric-tube-scanners/</t>
  </si>
  <si>
    <t xml:space="preserve">PiezoDrive tube price list (TB1006-N $63 .. TB10006-N $289)</t>
  </si>
  <si>
    <t xml:space="preserve">https://www.piezodrive.com/product-category/tube-scanners/</t>
  </si>
  <si>
    <t xml:space="preserve">PiezoDrive PDu150 $413</t>
  </si>
  <si>
    <t xml:space="preserve">https://www.piezodrive.com/product/pdu150-three-channel-ultra-low-noise-150v-piezo-driver/</t>
  </si>
  <si>
    <t xml:space="preserve">PiezoDrive PS1 24 V supply $33</t>
  </si>
  <si>
    <t xml:space="preserve">https://www.piezodrive.com/product/ps1-24v-power-supply-for-modules/</t>
  </si>
  <si>
    <t xml:space="preserve">PiezoDrive TD250 $3,172</t>
  </si>
  <si>
    <t xml:space="preserve">https://www.piezodrive.com/product/td250-six-channel-250v/</t>
  </si>
  <si>
    <t xml:space="preserve">PiezoDrive horizontal tube wiring $100</t>
  </si>
  <si>
    <t xml:space="preserve">https://www.piezodrive.com/product/horizontal-tube-wiring/</t>
  </si>
  <si>
    <t xml:space="preserve">San Diego combined sales tax 7.75%</t>
  </si>
  <si>
    <t xml:space="preserve">LCSC Global Direct shipping/tariff experiences (forum, Dec 2025)</t>
  </si>
  <si>
    <t xml:space="preserve">https://www.eevblog.com/forum/manufacture/lcscglobal-direct-shipping-to-usa-tariff-question/</t>
  </si>
  <si>
    <t xml:space="preserve">UCSD shop resources list (EnVision, Upper Campus shop, QI, stockroom)</t>
  </si>
  <si>
    <t xml:space="preserve">UCSD MPL machine shop rates</t>
  </si>
  <si>
    <t xml:space="preserve">EnVision access rules</t>
  </si>
  <si>
    <t xml:space="preserve">Goodfellow Macor 3.2 mm x 100 mm $145</t>
  </si>
  <si>
    <t xml:space="preserve">https://www.goodfellow.com/usa/macor-glass-ceramic-rod-1000004916</t>
  </si>
  <si>
    <t xml:space="preserve">Bruker DPT10 Pt/Ir tips</t>
  </si>
  <si>
    <t xml:space="preserve">SPI Pt/Ir 0.20 mm wire $206.64 / 2 ft</t>
  </si>
  <si>
    <t xml:space="preserve">https://www.2spi.com/item/z01707/</t>
  </si>
  <si>
    <t xml:space="preserve">Sigma Pt80Ir20 0.25 mm 1 m $1,730</t>
  </si>
  <si>
    <t xml:space="preserve">https://www.sigmaaldrich.com/US/en/product/aldrich/gf84004523</t>
  </si>
  <si>
    <t xml:space="preserve">Granite 12x18x3 G9651 $149.95</t>
  </si>
  <si>
    <t xml:space="preserve">https://www.penntoolco.com/grizzly-12-x-18-x-3-granite-surface-plate-no-ledge-g9651</t>
  </si>
  <si>
    <t xml:space="preserve">BatteryMart Energizer L522 lithium $21.95</t>
  </si>
  <si>
    <t xml:space="preserve">https://www.batterymart.com/p-energizer-la522-9volt-lithium-battery.html</t>
  </si>
  <si>
    <t xml:space="preserve">Vetco MG 8331D-14G $167.95</t>
  </si>
  <si>
    <t xml:space="preserve">https://vetco.net/products/8331d-14g_silver_conductive_epoxy_adhesive_-_mg_chemicals_8331d-14g</t>
  </si>
  <si>
    <t xml:space="preserve">Kozak Micro 1/4-80 screws</t>
  </si>
  <si>
    <t xml:space="preserve">https://kozakmicro.com/collections/1-4-80-tpi-oem-alternative-screws</t>
  </si>
  <si>
    <t xml:space="preserve">TMC2209 driver $4.25</t>
  </si>
  <si>
    <t xml:space="preserve">https://www.tinymachines3d.com/products/bigtreetech-tmc2209-v1-3</t>
  </si>
  <si>
    <t xml:space="preserve">Prusament PETG Carbon Fiber 1 kg $54.99 (MatterHackers lists the same spool at $89.99)</t>
  </si>
  <si>
    <t xml:space="preserve">https://www.prusa3d.com/product/prusament-petg-carbon-fiber-black-1kg/</t>
  </si>
  <si>
    <t xml:space="preserve">LCSC LT1469IN8#PBF now $23.77, out of stock</t>
  </si>
  <si>
    <t xml:space="preserve">https://www.lcsc.com/product-detail/C663979.html</t>
  </si>
  <si>
    <t xml:space="preserve">Blocked or unloaded</t>
  </si>
  <si>
    <t xml:space="preserve">DigiKey, Mouser, McMaster, Thorlabs and Amazon product pages could not be loaded from this environment; JLCPCB cannot quote without file upload.</t>
  </si>
</sst>
</file>

<file path=xl/styles.xml><?xml version="1.0" encoding="utf-8"?>
<styleSheet xmlns="http://schemas.openxmlformats.org/spreadsheetml/2006/main">
  <numFmts count="4">
    <numFmt numFmtId="164" formatCode="General"/>
    <numFmt numFmtId="165" formatCode="\$#,##0.00"/>
    <numFmt numFmtId="166" formatCode="0%"/>
    <numFmt numFmtId="167" formatCode="0.00%"/>
  </numFmts>
  <fonts count="10">
    <font>
      <sz val="11"/>
      <color theme="1"/>
      <name val="Calibri"/>
      <family val="2"/>
      <charset val="1"/>
    </font>
    <font>
      <sz val="10"/>
      <name val="Arial"/>
      <family val="0"/>
    </font>
    <font>
      <sz val="10"/>
      <name val="Arial"/>
      <family val="0"/>
    </font>
    <font>
      <sz val="10"/>
      <name val="Arial"/>
      <family val="0"/>
    </font>
    <font>
      <b val="true"/>
      <sz val="15"/>
      <name val="Cambria"/>
      <family val="0"/>
      <charset val="1"/>
    </font>
    <font>
      <b val="true"/>
      <sz val="11"/>
      <color rgb="FFFFFFFF"/>
      <name val="Cambria"/>
      <family val="0"/>
      <charset val="1"/>
    </font>
    <font>
      <b val="true"/>
      <sz val="11"/>
      <name val="Cambria"/>
      <family val="0"/>
      <charset val="1"/>
    </font>
    <font>
      <b val="true"/>
      <sz val="14"/>
      <name val="Cambria"/>
      <family val="0"/>
      <charset val="1"/>
    </font>
    <font>
      <u val="single"/>
      <sz val="11"/>
      <color rgb="FF0563C1"/>
      <name val="Cambria"/>
      <family val="0"/>
      <charset val="1"/>
    </font>
    <font>
      <b val="true"/>
      <sz val="12"/>
      <name val="Cambria"/>
      <family val="0"/>
      <charset val="1"/>
    </font>
  </fonts>
  <fills count="5">
    <fill>
      <patternFill patternType="none"/>
    </fill>
    <fill>
      <patternFill patternType="gray125"/>
    </fill>
    <fill>
      <patternFill patternType="solid">
        <fgColor rgb="FF1F3A5F"/>
        <bgColor rgb="FF333333"/>
      </patternFill>
    </fill>
    <fill>
      <patternFill patternType="solid">
        <fgColor rgb="FFE8EEF5"/>
        <bgColor rgb="FFFFFFFF"/>
      </patternFill>
    </fill>
    <fill>
      <patternFill patternType="solid">
        <fgColor rgb="FFFFF2CC"/>
        <bgColor rgb="FFE8EEF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F5"/>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iezodrive.com/product/tb3006-n-29um-range-piezo-tube-scanner/" TargetMode="External"/><Relationship Id="rId2" Type="http://schemas.openxmlformats.org/officeDocument/2006/relationships/hyperlink" Target="https://www.adafruit.com/product/324" TargetMode="External"/><Relationship Id="rId3" Type="http://schemas.openxmlformats.org/officeDocument/2006/relationships/hyperlink" Target="https://adafruit.com/product/6121" TargetMode="External"/><Relationship Id="rId4" Type="http://schemas.openxmlformats.org/officeDocument/2006/relationships/hyperlink" Target="https://www.thorlabs.com/thorproduct.cfm?partnumber=FAS200" TargetMode="External"/><Relationship Id="rId5" Type="http://schemas.openxmlformats.org/officeDocument/2006/relationships/hyperlink" Target="https://jlcpcb.com/" TargetMode="External"/><Relationship Id="rId6" Type="http://schemas.openxmlformats.org/officeDocument/2006/relationships/hyperlink" Target="https://jlcpcb.com/" TargetMode="External"/><Relationship Id="rId7" Type="http://schemas.openxmlformats.org/officeDocument/2006/relationships/hyperlink" Target="https://jlcpcb.com/" TargetMode="External"/><Relationship Id="rId8" Type="http://schemas.openxmlformats.org/officeDocument/2006/relationships/hyperlink" Target="https://jlcpcb.com/" TargetMode="External"/><Relationship Id="rId9" Type="http://schemas.openxmlformats.org/officeDocument/2006/relationships/hyperlink" Target="https://jlcpcb.com/" TargetMode="External"/><Relationship Id="rId10" Type="http://schemas.openxmlformats.org/officeDocument/2006/relationships/hyperlink" Target="https://www.digikey.com/en/products/detail/analog-devices-inc/LT1469IN8-PBF/962892" TargetMode="External"/><Relationship Id="rId11" Type="http://schemas.openxmlformats.org/officeDocument/2006/relationships/hyperlink" Target="https://www.digikey.com/en/products/detail/ohmite/SM104031007FE/824190" TargetMode="External"/><Relationship Id="rId12" Type="http://schemas.openxmlformats.org/officeDocument/2006/relationships/hyperlink" Target="https://octopart.com/part/keystone/11301" TargetMode="External"/><Relationship Id="rId13" Type="http://schemas.openxmlformats.org/officeDocument/2006/relationships/hyperlink" Target="https://www.lcsc.com/product-detail/C50636.html" TargetMode="External"/><Relationship Id="rId14" Type="http://schemas.openxmlformats.org/officeDocument/2006/relationships/hyperlink" Target="https://www.jameco.com/z/182M18-Hammond-Manufacturing-Toroidal-Transformer-120VA-50Hz-Dual-Secondary-36VCT-3-33A-Series-18V-6-66A-Parallel_2575671.html" TargetMode="External"/><Relationship Id="rId15" Type="http://schemas.openxmlformats.org/officeDocument/2006/relationships/hyperlink" Target="https://batteryjunction.com/batteries/shop-by-size/9v/energizer-522bp-4" TargetMode="External"/><Relationship Id="rId16" Type="http://schemas.openxmlformats.org/officeDocument/2006/relationships/hyperlink" Target="https://octopart.com/part/keystone/1294" TargetMode="External"/><Relationship Id="rId17" Type="http://schemas.openxmlformats.org/officeDocument/2006/relationships/hyperlink" Target="https://www.sparkfun.com/teensy-4-1.html" TargetMode="External"/><Relationship Id="rId18" Type="http://schemas.openxmlformats.org/officeDocument/2006/relationships/hyperlink" Target="https://adafruit.com/product/4821" TargetMode="External"/><Relationship Id="rId19" Type="http://schemas.openxmlformats.org/officeDocument/2006/relationships/hyperlink" Target="https://store.sunlu.com/products/petg-cfpetg-carbon-fiber-3d-printer-filament-1kg" TargetMode="External"/><Relationship Id="rId20" Type="http://schemas.openxmlformats.org/officeDocument/2006/relationships/hyperlink" Target="https://www.walmart.com/ip/533082272" TargetMode="External"/><Relationship Id="rId21" Type="http://schemas.openxmlformats.org/officeDocument/2006/relationships/hyperlink" Target="https://www.tedpella.com/AFM_html/AFM.aspx" TargetMode="External"/><Relationship Id="rId22" Type="http://schemas.openxmlformats.org/officeDocument/2006/relationships/hyperlink" Target="https://www.isolateit.com/products/sorbothane-acoustic-and-vibration-isolation-square-6-x-6-pads"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store.bruker.com/products/dpt10" TargetMode="External"/><Relationship Id="rId2" Type="http://schemas.openxmlformats.org/officeDocument/2006/relationships/hyperlink" Target="https://www.nanoandmore.com/AFM-Accessories-HOPG-ZYH" TargetMode="External"/><Relationship Id="rId3" Type="http://schemas.openxmlformats.org/officeDocument/2006/relationships/hyperlink" Target="https://jacobsschool.ucsd.edu/envision" TargetMode="External"/><Relationship Id="rId4" Type="http://schemas.openxmlformats.org/officeDocument/2006/relationships/hyperlink" Target="https://www.penntoolco.com/grizzly-9-x-12-x-2-granite-surface-plate-no-ledge-g9649/" TargetMode="External"/><Relationship Id="rId5" Type="http://schemas.openxmlformats.org/officeDocument/2006/relationships/hyperlink" Target="https://mae156b.eng.ucsd.edu/mae156-resources/mae-undergrad-lab-resources/lab-shops/ucsd-lab-shop-resources-outside-of-mae"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piezodrive.com/product/150v-5x5x10mm-piezo-stack-actuator-sa050510/" TargetMode="External"/><Relationship Id="rId2" Type="http://schemas.openxmlformats.org/officeDocument/2006/relationships/hyperlink" Target="https://www.edmundoptics.com/p/20mm-diameter-sapphire-ball-lens/5174/" TargetMode="External"/><Relationship Id="rId3" Type="http://schemas.openxmlformats.org/officeDocument/2006/relationships/hyperlink" Target="https://www.onlinemetals.com/en/buy/tool-steel-drill-rod-w1"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trykintsugi.com/sales-tax-guides/usa/california/san-diego-county.md" TargetMode="External"/><Relationship Id="rId2" Type="http://schemas.openxmlformats.org/officeDocument/2006/relationships/hyperlink" Target="https://www.piezodrive.com/?p=991" TargetMode="External"/><Relationship Id="rId3" Type="http://schemas.openxmlformats.org/officeDocument/2006/relationships/hyperlink" Target="https://mpl.ucsd.edu/machine-shop-info/"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www.piezodrive.com/product/tb3006-n-29um-range-piezo-tube-scanner/" TargetMode="External"/><Relationship Id="rId2" Type="http://schemas.openxmlformats.org/officeDocument/2006/relationships/hyperlink" Target="https://www.adafruit.com/product/324" TargetMode="External"/><Relationship Id="rId3" Type="http://schemas.openxmlformats.org/officeDocument/2006/relationships/hyperlink" Target="https://adafruit.com/product/6121" TargetMode="External"/><Relationship Id="rId4" Type="http://schemas.openxmlformats.org/officeDocument/2006/relationships/hyperlink" Target="https://www.thorlabs.com/thorproduct.cfm?partnumber=FAS200" TargetMode="External"/><Relationship Id="rId5" Type="http://schemas.openxmlformats.org/officeDocument/2006/relationships/hyperlink" Target="https://jlcpcb.com/" TargetMode="External"/><Relationship Id="rId6" Type="http://schemas.openxmlformats.org/officeDocument/2006/relationships/hyperlink" Target="https://jlcpcb.com/" TargetMode="External"/><Relationship Id="rId7" Type="http://schemas.openxmlformats.org/officeDocument/2006/relationships/hyperlink" Target="https://jlcpcb.com/" TargetMode="External"/><Relationship Id="rId8" Type="http://schemas.openxmlformats.org/officeDocument/2006/relationships/hyperlink" Target="https://jlcpcb.com/" TargetMode="External"/><Relationship Id="rId9" Type="http://schemas.openxmlformats.org/officeDocument/2006/relationships/hyperlink" Target="https://jlcpcb.com/" TargetMode="External"/><Relationship Id="rId10" Type="http://schemas.openxmlformats.org/officeDocument/2006/relationships/hyperlink" Target="https://www.digikey.com/en/products/detail/analog-devices-inc/LT1469IN8-PBF/962892" TargetMode="External"/><Relationship Id="rId11" Type="http://schemas.openxmlformats.org/officeDocument/2006/relationships/hyperlink" Target="https://www.digikey.com/en/products/detail/ohmite/SM104031007FE/824190" TargetMode="External"/><Relationship Id="rId12" Type="http://schemas.openxmlformats.org/officeDocument/2006/relationships/hyperlink" Target="https://octopart.com/part/keystone/11301" TargetMode="External"/><Relationship Id="rId13" Type="http://schemas.openxmlformats.org/officeDocument/2006/relationships/hyperlink" Target="https://www.lcsc.com/product-detail/C50636.html" TargetMode="External"/><Relationship Id="rId14" Type="http://schemas.openxmlformats.org/officeDocument/2006/relationships/hyperlink" Target="https://www.jameco.com/z/182M18-Hammond-Manufacturing-Toroidal-Transformer-120VA-50Hz-Dual-Secondary-36VCT-3-33A-Series-18V-6-66A-Parallel_2575671.html" TargetMode="External"/><Relationship Id="rId15" Type="http://schemas.openxmlformats.org/officeDocument/2006/relationships/hyperlink" Target="https://batteryjunction.com/batteries/shop-by-size/9v/energizer-522bp-4" TargetMode="External"/><Relationship Id="rId16" Type="http://schemas.openxmlformats.org/officeDocument/2006/relationships/hyperlink" Target="https://octopart.com/part/keystone/1294" TargetMode="External"/><Relationship Id="rId17" Type="http://schemas.openxmlformats.org/officeDocument/2006/relationships/hyperlink" Target="https://www.sparkfun.com/teensy-4-1.html" TargetMode="External"/><Relationship Id="rId18" Type="http://schemas.openxmlformats.org/officeDocument/2006/relationships/hyperlink" Target="https://adafruit.com/product/4821" TargetMode="External"/><Relationship Id="rId19" Type="http://schemas.openxmlformats.org/officeDocument/2006/relationships/hyperlink" Target="https://store.sunlu.com/products/petg-cfpetg-carbon-fiber-3d-printer-filament-1kg" TargetMode="External"/><Relationship Id="rId20" Type="http://schemas.openxmlformats.org/officeDocument/2006/relationships/hyperlink" Target="https://www.walmart.com/ip/533082272" TargetMode="External"/><Relationship Id="rId21" Type="http://schemas.openxmlformats.org/officeDocument/2006/relationships/hyperlink" Target="https://www.tedpella.com/AFM_html/AFM.aspx" TargetMode="External"/><Relationship Id="rId22" Type="http://schemas.openxmlformats.org/officeDocument/2006/relationships/hyperlink" Target="https://www.isolateit.com/products/sorbothane-acoustic-and-vibration-isolation-square-6-x-6-pads" TargetMode="External"/><Relationship Id="rId23" Type="http://schemas.openxmlformats.org/officeDocument/2006/relationships/hyperlink" Target="https://jlc3dp.com/help/article/us-tariff-policy-faq" TargetMode="External"/><Relationship Id="rId24" Type="http://schemas.openxmlformats.org/officeDocument/2006/relationships/hyperlink" Target="https://www.piezodrive.com/?p=991" TargetMode="External"/><Relationship Id="rId25" Type="http://schemas.openxmlformats.org/officeDocument/2006/relationships/hyperlink" Target="https://www.piezodrive.com/piezoelectric-tube-scanners/" TargetMode="External"/><Relationship Id="rId26" Type="http://schemas.openxmlformats.org/officeDocument/2006/relationships/hyperlink" Target="https://www.piezodrive.com/product-category/tube-scanners/" TargetMode="External"/><Relationship Id="rId27" Type="http://schemas.openxmlformats.org/officeDocument/2006/relationships/hyperlink" Target="https://www.piezodrive.com/product/pdu150-three-channel-ultra-low-noise-150v-piezo-driver/" TargetMode="External"/><Relationship Id="rId28" Type="http://schemas.openxmlformats.org/officeDocument/2006/relationships/hyperlink" Target="https://www.piezodrive.com/product/ps1-24v-power-supply-for-modules/" TargetMode="External"/><Relationship Id="rId29" Type="http://schemas.openxmlformats.org/officeDocument/2006/relationships/hyperlink" Target="https://www.piezodrive.com/product/td250-six-channel-250v/" TargetMode="External"/><Relationship Id="rId30" Type="http://schemas.openxmlformats.org/officeDocument/2006/relationships/hyperlink" Target="https://www.piezodrive.com/product/horizontal-tube-wiring/" TargetMode="External"/><Relationship Id="rId31" Type="http://schemas.openxmlformats.org/officeDocument/2006/relationships/hyperlink" Target="https://trykintsugi.com/sales-tax-guides/usa/california/san-diego-county.md" TargetMode="External"/><Relationship Id="rId32" Type="http://schemas.openxmlformats.org/officeDocument/2006/relationships/hyperlink" Target="https://www.eevblog.com/forum/manufacture/lcscglobal-direct-shipping-to-usa-tariff-question/" TargetMode="External"/><Relationship Id="rId33" Type="http://schemas.openxmlformats.org/officeDocument/2006/relationships/hyperlink" Target="https://mae156b.eng.ucsd.edu/mae156-resources/mae-undergrad-lab-resources/lab-shops/ucsd-lab-shop-resources-outside-of-mae" TargetMode="External"/><Relationship Id="rId34" Type="http://schemas.openxmlformats.org/officeDocument/2006/relationships/hyperlink" Target="https://mpl.ucsd.edu/machine-shop-info/" TargetMode="External"/><Relationship Id="rId35" Type="http://schemas.openxmlformats.org/officeDocument/2006/relationships/hyperlink" Target="https://jacobsschool.ucsd.edu/envision" TargetMode="External"/><Relationship Id="rId36" Type="http://schemas.openxmlformats.org/officeDocument/2006/relationships/hyperlink" Target="https://www.goodfellow.com/usa/macor-glass-ceramic-rod-1000004916" TargetMode="External"/><Relationship Id="rId37" Type="http://schemas.openxmlformats.org/officeDocument/2006/relationships/hyperlink" Target="https://store.bruker.com/products/dpt10" TargetMode="External"/><Relationship Id="rId38" Type="http://schemas.openxmlformats.org/officeDocument/2006/relationships/hyperlink" Target="https://www.2spi.com/item/z01707/" TargetMode="External"/><Relationship Id="rId39" Type="http://schemas.openxmlformats.org/officeDocument/2006/relationships/hyperlink" Target="https://www.sigmaaldrich.com/US/en/product/aldrich/gf84004523" TargetMode="External"/><Relationship Id="rId40" Type="http://schemas.openxmlformats.org/officeDocument/2006/relationships/hyperlink" Target="https://www.penntoolco.com/grizzly-12-x-18-x-3-granite-surface-plate-no-ledge-g9651" TargetMode="External"/><Relationship Id="rId41" Type="http://schemas.openxmlformats.org/officeDocument/2006/relationships/hyperlink" Target="https://www.batterymart.com/p-energizer-la522-9volt-lithium-battery.html" TargetMode="External"/><Relationship Id="rId42" Type="http://schemas.openxmlformats.org/officeDocument/2006/relationships/hyperlink" Target="https://vetco.net/products/8331d-14g_silver_conductive_epoxy_adhesive_-_mg_chemicals_8331d-14g" TargetMode="External"/><Relationship Id="rId43" Type="http://schemas.openxmlformats.org/officeDocument/2006/relationships/hyperlink" Target="https://kozakmicro.com/collections/1-4-80-tpi-oem-alternative-screws" TargetMode="External"/><Relationship Id="rId44" Type="http://schemas.openxmlformats.org/officeDocument/2006/relationships/hyperlink" Target="https://www.tinymachines3d.com/products/bigtreetech-tmc2209-v1-3" TargetMode="External"/><Relationship Id="rId45" Type="http://schemas.openxmlformats.org/officeDocument/2006/relationships/hyperlink" Target="https://www.prusa3d.com/product/prusament-petg-carbon-fiber-black-1k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4"/>
    <col collapsed="false" customWidth="true" hidden="false" outlineLevel="0" max="3" min="3" style="0" width="90"/>
  </cols>
  <sheetData>
    <row r="1" customFormat="false" ht="18.5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4" customFormat="false" ht="15" hidden="false" customHeight="false" outlineLevel="0" collapsed="false">
      <c r="A4" s="2" t="s">
        <v>3</v>
      </c>
      <c r="B4" s="2" t="s">
        <v>4</v>
      </c>
      <c r="C4" s="2" t="s">
        <v>5</v>
      </c>
    </row>
    <row r="5" customFormat="false" ht="15" hidden="false" customHeight="false" outlineLevel="0" collapsed="false">
      <c r="A5" s="0" t="s">
        <v>6</v>
      </c>
      <c r="B5" s="3" t="n">
        <f aca="false">SUMIF('Detailed BOM'!$B$5:$B$34,A5,'Detailed BOM'!$K$5:$K$34)</f>
        <v>131</v>
      </c>
    </row>
    <row r="6" customFormat="false" ht="15" hidden="false" customHeight="false" outlineLevel="0" collapsed="false">
      <c r="A6" s="0" t="s">
        <v>7</v>
      </c>
      <c r="B6" s="3" t="n">
        <f aca="false">SUMIF('Detailed BOM'!$B$5:$B$34,A6,'Detailed BOM'!$K$5:$K$34)</f>
        <v>49.29</v>
      </c>
    </row>
    <row r="7" customFormat="false" ht="15" hidden="false" customHeight="false" outlineLevel="0" collapsed="false">
      <c r="A7" s="0" t="s">
        <v>8</v>
      </c>
      <c r="B7" s="3" t="n">
        <f aca="false">SUMIF('Detailed BOM'!$B$5:$B$34,A7,'Detailed BOM'!$K$5:$K$34)</f>
        <v>497.06</v>
      </c>
    </row>
    <row r="8" customFormat="false" ht="15" hidden="false" customHeight="false" outlineLevel="0" collapsed="false">
      <c r="A8" s="0" t="s">
        <v>9</v>
      </c>
      <c r="B8" s="3" t="n">
        <f aca="false">SUMIF('Detailed BOM'!$B$5:$B$34,A8,'Detailed BOM'!$K$5:$K$34)</f>
        <v>132.5082</v>
      </c>
    </row>
    <row r="9" customFormat="false" ht="15" hidden="false" customHeight="false" outlineLevel="0" collapsed="false">
      <c r="A9" s="0" t="s">
        <v>10</v>
      </c>
      <c r="B9" s="3" t="n">
        <f aca="false">SUMIF('Detailed BOM'!$B$5:$B$34,A9,'Detailed BOM'!$K$5:$K$34)</f>
        <v>94.68</v>
      </c>
    </row>
    <row r="10" customFormat="false" ht="15" hidden="false" customHeight="false" outlineLevel="0" collapsed="false">
      <c r="A10" s="0" t="s">
        <v>11</v>
      </c>
      <c r="B10" s="3" t="n">
        <f aca="false">SUMIF('Detailed BOM'!$B$5:$B$34,A10,'Detailed BOM'!$K$5:$K$34)</f>
        <v>54.5</v>
      </c>
    </row>
    <row r="11" customFormat="false" ht="15" hidden="false" customHeight="false" outlineLevel="0" collapsed="false">
      <c r="A11" s="0" t="s">
        <v>12</v>
      </c>
      <c r="B11" s="3" t="n">
        <f aca="false">SUMIF('Detailed BOM'!$B$5:$B$34,A11,'Detailed BOM'!$K$5:$K$34)</f>
        <v>94.98</v>
      </c>
    </row>
    <row r="12" customFormat="false" ht="15" hidden="false" customHeight="false" outlineLevel="0" collapsed="false">
      <c r="A12" s="4" t="s">
        <v>13</v>
      </c>
      <c r="B12" s="5" t="n">
        <f aca="false">SUM(B5:B11)</f>
        <v>1054.0182</v>
      </c>
      <c r="C12" s="6" t="s">
        <v>14</v>
      </c>
    </row>
    <row r="13" customFormat="false" ht="15" hidden="false" customHeight="false" outlineLevel="0" collapsed="false">
      <c r="A13" s="0" t="s">
        <v>15</v>
      </c>
      <c r="B13" s="3" t="n">
        <f aca="false">SUMIF('Detailed BOM'!$L$5:$L$34,"Verified*",'Detailed BOM'!$K$5:$K$34)</f>
        <v>347.0682</v>
      </c>
      <c r="C13" s="7"/>
    </row>
    <row r="14" customFormat="false" ht="15" hidden="false" customHeight="false" outlineLevel="0" collapsed="false">
      <c r="A14" s="0" t="s">
        <v>16</v>
      </c>
      <c r="B14" s="3" t="n">
        <f aca="false">SUMIF('Detailed BOM'!$L$5:$L$34,"Historical*",'Detailed BOM'!$K$5:$K$34)</f>
        <v>517.58</v>
      </c>
      <c r="C14" s="7"/>
    </row>
    <row r="15" customFormat="false" ht="15" hidden="false" customHeight="false" outlineLevel="0" collapsed="false">
      <c r="A15" s="0" t="s">
        <v>17</v>
      </c>
      <c r="B15" s="3" t="n">
        <f aca="false">SUMIF('Detailed BOM'!$L$5:$L$34,"Estimated",'Detailed BOM'!$K$5:$K$34)</f>
        <v>189.37</v>
      </c>
      <c r="C15" s="7"/>
    </row>
    <row r="16" customFormat="false" ht="15" hidden="false" customHeight="false" outlineLevel="0" collapsed="false">
      <c r="A16" s="0" t="s">
        <v>18</v>
      </c>
      <c r="B16" s="3" t="n">
        <f aca="false">'Vendor-order totals'!C20</f>
        <v>204.26</v>
      </c>
      <c r="C16" s="7"/>
    </row>
    <row r="17" customFormat="false" ht="15" hidden="false" customHeight="false" outlineLevel="0" collapsed="false">
      <c r="A17" s="0" t="s">
        <v>19</v>
      </c>
      <c r="B17" s="3" t="n">
        <f aca="false">'Vendor-order totals'!G20</f>
        <v>219.84407</v>
      </c>
      <c r="C17" s="7" t="s">
        <v>20</v>
      </c>
    </row>
    <row r="18" customFormat="false" ht="15" hidden="false" customHeight="false" outlineLevel="0" collapsed="false">
      <c r="A18" s="0" t="s">
        <v>21</v>
      </c>
      <c r="B18" s="3" t="n">
        <f aca="false">'Vendor-order totals'!J18</f>
        <v>65</v>
      </c>
      <c r="C18" s="7"/>
    </row>
    <row r="19" customFormat="false" ht="15" hidden="false" customHeight="false" outlineLevel="0" collapsed="false">
      <c r="A19" s="0" t="s">
        <v>22</v>
      </c>
      <c r="B19" s="3" t="n">
        <f aca="false">'Vendor-order totals'!I20</f>
        <v>81.6864105</v>
      </c>
      <c r="C19" s="7"/>
    </row>
    <row r="20" customFormat="false" ht="15" hidden="false" customHeight="false" outlineLevel="0" collapsed="false">
      <c r="A20" s="4" t="s">
        <v>23</v>
      </c>
      <c r="B20" s="5" t="n">
        <f aca="false">B12+B16+B17+B18+B19</f>
        <v>1624.8086805</v>
      </c>
      <c r="C20" s="6"/>
    </row>
    <row r="21" customFormat="false" ht="15" hidden="false" customHeight="false" outlineLevel="0" collapsed="false">
      <c r="A21" s="0" t="s">
        <v>24</v>
      </c>
      <c r="B21" s="3" t="n">
        <f aca="false">B20*Assumptions!B6</f>
        <v>162.48086805</v>
      </c>
      <c r="C21" s="7"/>
    </row>
    <row r="22" customFormat="false" ht="15" hidden="false" customHeight="false" outlineLevel="0" collapsed="false">
      <c r="A22" s="8" t="s">
        <v>25</v>
      </c>
      <c r="B22" s="9" t="n">
        <f aca="false">B20+B21</f>
        <v>1787.28954855</v>
      </c>
      <c r="C22" s="10"/>
    </row>
    <row r="23" customFormat="false" ht="15" hidden="false" customHeight="false" outlineLevel="0" collapsed="false">
      <c r="A23" s="0" t="s">
        <v>26</v>
      </c>
      <c r="B23" s="3" t="n">
        <f aca="false">Assumptions!B9</f>
        <v>2000</v>
      </c>
      <c r="C23" s="7"/>
    </row>
    <row r="24" customFormat="false" ht="15" hidden="false" customHeight="false" outlineLevel="0" collapsed="false">
      <c r="A24" s="11" t="s">
        <v>27</v>
      </c>
      <c r="B24" s="12" t="n">
        <f aca="false">Assumptions!B9-B22</f>
        <v>212.71045145</v>
      </c>
      <c r="C24" s="7"/>
    </row>
    <row r="25" customFormat="false" ht="15" hidden="false" customHeight="false" outlineLevel="0" collapsed="false">
      <c r="A25" s="0" t="s">
        <v>28</v>
      </c>
      <c r="B25" s="3" t="n">
        <f aca="false">B22-'Vendor-order totals'!J20*(1+Assumptions!B6)</f>
        <v>0</v>
      </c>
      <c r="C25" s="7" t="s">
        <v>29</v>
      </c>
    </row>
    <row r="26" customFormat="false" ht="15" hidden="false" customHeight="false" outlineLevel="0" collapsed="false">
      <c r="A26" s="0" t="s">
        <v>2</v>
      </c>
    </row>
    <row r="27" customFormat="false" ht="15" hidden="false" customHeight="false" outlineLevel="0" collapsed="false">
      <c r="A27" s="11" t="s">
        <v>30</v>
      </c>
    </row>
    <row r="28" customFormat="false" ht="15" hidden="false" customHeight="false" outlineLevel="0" collapsed="false">
      <c r="A28" s="0" t="s">
        <v>31</v>
      </c>
      <c r="B28" s="3" t="n">
        <f aca="false">'Approach options'!F14</f>
        <v>115.0047</v>
      </c>
      <c r="C28" s="7"/>
    </row>
    <row r="29" customFormat="false" ht="15" hidden="false" customHeight="false" outlineLevel="0" collapsed="false">
      <c r="A29" s="0" t="s">
        <v>32</v>
      </c>
      <c r="B29" s="3" t="n">
        <f aca="false">'Piezo options'!I6</f>
        <v>733.8018</v>
      </c>
      <c r="C29" s="7"/>
    </row>
    <row r="30" customFormat="false" ht="15" hidden="false" customHeight="false" outlineLevel="0" collapsed="false">
      <c r="A30" s="0" t="s">
        <v>33</v>
      </c>
      <c r="B30" s="3" t="n">
        <f aca="false">'Piezo options'!I7</f>
        <v>3013.8018</v>
      </c>
      <c r="C30" s="7"/>
    </row>
    <row r="31" customFormat="false" ht="15" hidden="false" customHeight="false" outlineLevel="0" collapsed="false">
      <c r="A31" s="0" t="s">
        <v>34</v>
      </c>
      <c r="B31" s="3" t="n">
        <f aca="false">'Piezo options'!I8</f>
        <v>-20</v>
      </c>
      <c r="C31" s="7"/>
    </row>
    <row r="32" customFormat="false" ht="15" hidden="false" customHeight="false" outlineLevel="0" collapsed="false">
      <c r="A32" s="0" t="s">
        <v>35</v>
      </c>
      <c r="B32" s="3" t="n">
        <f aca="false">'Piezo options'!I9</f>
        <v>25</v>
      </c>
      <c r="C32" s="7"/>
    </row>
    <row r="33" customFormat="false" ht="15" hidden="false" customHeight="false" outlineLevel="0" collapsed="false">
      <c r="A33" s="0" t="s">
        <v>36</v>
      </c>
      <c r="B33" s="3" t="n">
        <f aca="false">'Piezo options'!I10</f>
        <v>100</v>
      </c>
      <c r="C33" s="7"/>
    </row>
    <row r="34" customFormat="false" ht="15" hidden="false" customHeight="false" outlineLevel="0" collapsed="false">
      <c r="A34" s="0" t="s">
        <v>37</v>
      </c>
      <c r="B34" s="3" t="n">
        <f aca="false">133.13</f>
        <v>133.13</v>
      </c>
      <c r="C34" s="7" t="s">
        <v>38</v>
      </c>
    </row>
    <row r="35" customFormat="false" ht="15" hidden="false" customHeight="false" outlineLevel="0" collapsed="false">
      <c r="A35" s="0" t="s">
        <v>39</v>
      </c>
      <c r="B35" s="3" t="n">
        <f aca="false">42.74</f>
        <v>42.74</v>
      </c>
      <c r="C35" s="7"/>
    </row>
    <row r="36" customFormat="false" ht="15" hidden="false" customHeight="false" outlineLevel="0" collapsed="false">
      <c r="A36" s="0" t="s">
        <v>2</v>
      </c>
    </row>
    <row r="37" customFormat="false" ht="15" hidden="false" customHeight="false" outlineLevel="0" collapsed="false">
      <c r="A37" s="11" t="s">
        <v>40</v>
      </c>
    </row>
    <row r="38" customFormat="false" ht="15" hidden="false" customHeight="false" outlineLevel="0" collapsed="false">
      <c r="A38" s="0" t="s">
        <v>41</v>
      </c>
      <c r="B38" s="3" t="n">
        <v>3006.93</v>
      </c>
      <c r="C38" s="7" t="s">
        <v>42</v>
      </c>
    </row>
    <row r="39" customFormat="false" ht="15" hidden="false" customHeight="false" outlineLevel="0" collapsed="false">
      <c r="A39" s="0" t="s">
        <v>43</v>
      </c>
      <c r="B39" s="3" t="n">
        <v>2626.74</v>
      </c>
      <c r="C39" s="7"/>
    </row>
    <row r="40" customFormat="false" ht="15" hidden="false" customHeight="false" outlineLevel="0" collapsed="false">
      <c r="A40" s="0" t="s">
        <v>2</v>
      </c>
    </row>
    <row r="41" customFormat="false" ht="28.35" hidden="false" customHeight="false" outlineLevel="0" collapsed="false">
      <c r="A41" s="7"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42"/>
    <col collapsed="false" customWidth="true" hidden="false" outlineLevel="0" max="4" min="4" style="0" width="30"/>
    <col collapsed="false" customWidth="true" hidden="false" outlineLevel="0" max="5" min="5" style="0" width="14"/>
    <col collapsed="false" customWidth="true" hidden="false" outlineLevel="0" max="6" min="6" style="0" width="44"/>
    <col collapsed="false" customWidth="true" hidden="false" outlineLevel="0" max="7" min="7" style="0" width="9"/>
    <col collapsed="false" customWidth="true" hidden="false" outlineLevel="0" max="8" min="8" style="0" width="1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22"/>
    <col collapsed="false" customWidth="true" hidden="false" outlineLevel="0" max="13" min="13" style="0" width="70"/>
  </cols>
  <sheetData>
    <row r="1" customFormat="false" ht="17.35" hidden="false" customHeight="false" outlineLevel="0" collapsed="false">
      <c r="A1" s="13" t="s">
        <v>45</v>
      </c>
    </row>
    <row r="2" customFormat="false" ht="15" hidden="false" customHeight="false" outlineLevel="0" collapsed="false">
      <c r="A2" s="0" t="s">
        <v>46</v>
      </c>
    </row>
    <row r="3" customFormat="false" ht="15" hidden="false" customHeight="false" outlineLevel="0" collapsed="false">
      <c r="A3" s="0" t="s">
        <v>2</v>
      </c>
    </row>
    <row r="4" customFormat="false" ht="41.75" hidden="false" customHeight="false" outlineLevel="0" collapsed="false">
      <c r="A4" s="2" t="s">
        <v>47</v>
      </c>
      <c r="B4" s="2" t="s">
        <v>48</v>
      </c>
      <c r="C4" s="2" t="s">
        <v>49</v>
      </c>
      <c r="D4" s="2" t="s">
        <v>50</v>
      </c>
      <c r="E4" s="2" t="s">
        <v>51</v>
      </c>
      <c r="F4" s="2" t="s">
        <v>52</v>
      </c>
      <c r="G4" s="2" t="s">
        <v>53</v>
      </c>
      <c r="H4" s="2" t="s">
        <v>54</v>
      </c>
      <c r="I4" s="2" t="s">
        <v>55</v>
      </c>
      <c r="J4" s="2" t="s">
        <v>56</v>
      </c>
      <c r="K4" s="2" t="s">
        <v>57</v>
      </c>
      <c r="L4" s="2" t="s">
        <v>58</v>
      </c>
      <c r="M4" s="2" t="s">
        <v>5</v>
      </c>
    </row>
    <row r="5" customFormat="false" ht="15" hidden="false" customHeight="false" outlineLevel="0" collapsed="false">
      <c r="A5" s="4" t="s">
        <v>6</v>
      </c>
      <c r="B5" s="14"/>
      <c r="C5" s="14"/>
      <c r="D5" s="14"/>
      <c r="E5" s="14"/>
      <c r="F5" s="14"/>
      <c r="G5" s="14"/>
      <c r="H5" s="14"/>
      <c r="I5" s="14"/>
      <c r="J5" s="14"/>
      <c r="K5" s="14"/>
      <c r="L5" s="14"/>
      <c r="M5" s="14"/>
    </row>
    <row r="6" customFormat="false" ht="28.35" hidden="false" customHeight="false" outlineLevel="0" collapsed="false">
      <c r="A6" s="0" t="s">
        <v>59</v>
      </c>
      <c r="B6" s="0" t="s">
        <v>6</v>
      </c>
      <c r="C6" s="7" t="s">
        <v>60</v>
      </c>
      <c r="D6" s="7" t="s">
        <v>61</v>
      </c>
      <c r="E6" s="15" t="s">
        <v>62</v>
      </c>
      <c r="F6" s="16" t="s">
        <v>63</v>
      </c>
      <c r="G6" s="0" t="n">
        <v>1</v>
      </c>
      <c r="H6" s="15" t="s">
        <v>64</v>
      </c>
      <c r="I6" s="0" t="n">
        <v>1</v>
      </c>
      <c r="J6" s="3" t="n">
        <v>131</v>
      </c>
      <c r="K6" s="3" t="n">
        <f aca="false">I6*J6</f>
        <v>131</v>
      </c>
      <c r="L6" s="15" t="s">
        <v>65</v>
      </c>
      <c r="M6" s="7" t="s">
        <v>66</v>
      </c>
    </row>
    <row r="7" customFormat="false" ht="15" hidden="false" customHeight="false" outlineLevel="0" collapsed="false">
      <c r="A7" s="4" t="s">
        <v>7</v>
      </c>
      <c r="B7" s="14"/>
      <c r="C7" s="14"/>
      <c r="D7" s="14"/>
      <c r="E7" s="14"/>
      <c r="F7" s="14"/>
      <c r="G7" s="14"/>
      <c r="H7" s="14"/>
      <c r="I7" s="14"/>
      <c r="J7" s="14"/>
      <c r="K7" s="14"/>
      <c r="L7" s="14"/>
      <c r="M7" s="14"/>
    </row>
    <row r="8" customFormat="false" ht="41.75" hidden="false" customHeight="false" outlineLevel="0" collapsed="false">
      <c r="A8" s="0" t="s">
        <v>67</v>
      </c>
      <c r="B8" s="0" t="s">
        <v>7</v>
      </c>
      <c r="C8" s="7" t="s">
        <v>68</v>
      </c>
      <c r="D8" s="7" t="s">
        <v>69</v>
      </c>
      <c r="E8" s="15" t="s">
        <v>70</v>
      </c>
      <c r="F8" s="16" t="s">
        <v>71</v>
      </c>
      <c r="G8" s="0" t="n">
        <v>1</v>
      </c>
      <c r="H8" s="15" t="s">
        <v>64</v>
      </c>
      <c r="I8" s="0" t="n">
        <v>1</v>
      </c>
      <c r="J8" s="3" t="n">
        <v>14</v>
      </c>
      <c r="K8" s="3" t="n">
        <f aca="false">I8*J8</f>
        <v>14</v>
      </c>
      <c r="L8" s="15" t="s">
        <v>65</v>
      </c>
      <c r="M8" s="7" t="s">
        <v>72</v>
      </c>
    </row>
    <row r="9" customFormat="false" ht="41.75" hidden="false" customHeight="false" outlineLevel="0" collapsed="false">
      <c r="A9" s="0" t="s">
        <v>73</v>
      </c>
      <c r="B9" s="0" t="s">
        <v>7</v>
      </c>
      <c r="C9" s="7" t="s">
        <v>74</v>
      </c>
      <c r="D9" s="7" t="s">
        <v>75</v>
      </c>
      <c r="E9" s="15" t="s">
        <v>70</v>
      </c>
      <c r="F9" s="16" t="s">
        <v>76</v>
      </c>
      <c r="G9" s="0" t="n">
        <v>1</v>
      </c>
      <c r="H9" s="15" t="s">
        <v>64</v>
      </c>
      <c r="I9" s="0" t="n">
        <v>1</v>
      </c>
      <c r="J9" s="3" t="n">
        <v>8.95</v>
      </c>
      <c r="K9" s="3" t="n">
        <f aca="false">I9*J9</f>
        <v>8.95</v>
      </c>
      <c r="L9" s="15" t="s">
        <v>65</v>
      </c>
      <c r="M9" s="7" t="s">
        <v>77</v>
      </c>
    </row>
    <row r="10" customFormat="false" ht="41.75" hidden="false" customHeight="false" outlineLevel="0" collapsed="false">
      <c r="A10" s="0" t="s">
        <v>78</v>
      </c>
      <c r="B10" s="0" t="s">
        <v>7</v>
      </c>
      <c r="C10" s="7" t="s">
        <v>79</v>
      </c>
      <c r="D10" s="7" t="s">
        <v>80</v>
      </c>
      <c r="E10" s="15" t="s">
        <v>81</v>
      </c>
      <c r="F10" s="16" t="s">
        <v>82</v>
      </c>
      <c r="G10" s="0" t="n">
        <v>3</v>
      </c>
      <c r="H10" s="15" t="s">
        <v>64</v>
      </c>
      <c r="I10" s="0" t="n">
        <v>3</v>
      </c>
      <c r="J10" s="3" t="n">
        <v>8.78</v>
      </c>
      <c r="K10" s="3" t="n">
        <f aca="false">I10*J10</f>
        <v>26.34</v>
      </c>
      <c r="L10" s="15" t="s">
        <v>83</v>
      </c>
      <c r="M10" s="7" t="s">
        <v>84</v>
      </c>
    </row>
    <row r="11" customFormat="false" ht="15" hidden="false" customHeight="false" outlineLevel="0" collapsed="false">
      <c r="A11" s="4" t="s">
        <v>8</v>
      </c>
      <c r="B11" s="14"/>
      <c r="C11" s="14"/>
      <c r="D11" s="14"/>
      <c r="E11" s="14"/>
      <c r="F11" s="14"/>
      <c r="G11" s="14"/>
      <c r="H11" s="14"/>
      <c r="I11" s="14"/>
      <c r="J11" s="14"/>
      <c r="K11" s="14"/>
      <c r="L11" s="14"/>
      <c r="M11" s="14"/>
    </row>
    <row r="12" customFormat="false" ht="41.75" hidden="false" customHeight="false" outlineLevel="0" collapsed="false">
      <c r="A12" s="0" t="s">
        <v>85</v>
      </c>
      <c r="B12" s="0" t="s">
        <v>8</v>
      </c>
      <c r="C12" s="7" t="s">
        <v>86</v>
      </c>
      <c r="D12" s="7" t="s">
        <v>87</v>
      </c>
      <c r="E12" s="15" t="s">
        <v>88</v>
      </c>
      <c r="F12" s="16" t="s">
        <v>89</v>
      </c>
      <c r="G12" s="0" t="n">
        <v>2</v>
      </c>
      <c r="H12" s="15" t="s">
        <v>90</v>
      </c>
      <c r="I12" s="0" t="n">
        <v>2</v>
      </c>
      <c r="J12" s="3" t="n">
        <v>209.64</v>
      </c>
      <c r="K12" s="3" t="n">
        <f aca="false">I12*J12</f>
        <v>419.28</v>
      </c>
      <c r="L12" s="15" t="s">
        <v>83</v>
      </c>
      <c r="M12" s="7" t="s">
        <v>91</v>
      </c>
    </row>
    <row r="13" customFormat="false" ht="28.35" hidden="false" customHeight="false" outlineLevel="0" collapsed="false">
      <c r="A13" s="0" t="s">
        <v>92</v>
      </c>
      <c r="B13" s="0" t="s">
        <v>8</v>
      </c>
      <c r="C13" s="7" t="s">
        <v>93</v>
      </c>
      <c r="D13" s="7" t="s">
        <v>94</v>
      </c>
      <c r="E13" s="15" t="s">
        <v>88</v>
      </c>
      <c r="F13" s="16" t="s">
        <v>89</v>
      </c>
      <c r="G13" s="0" t="n">
        <v>2</v>
      </c>
      <c r="H13" s="15" t="s">
        <v>90</v>
      </c>
      <c r="I13" s="0" t="n">
        <v>2</v>
      </c>
      <c r="J13" s="3" t="n">
        <v>30.17</v>
      </c>
      <c r="K13" s="3" t="n">
        <f aca="false">I13*J13</f>
        <v>60.34</v>
      </c>
      <c r="L13" s="15" t="s">
        <v>83</v>
      </c>
      <c r="M13" s="7" t="s">
        <v>95</v>
      </c>
    </row>
    <row r="14" customFormat="false" ht="15" hidden="false" customHeight="false" outlineLevel="0" collapsed="false">
      <c r="A14" s="0" t="s">
        <v>96</v>
      </c>
      <c r="B14" s="0" t="s">
        <v>8</v>
      </c>
      <c r="C14" s="7" t="s">
        <v>97</v>
      </c>
      <c r="D14" s="7" t="s">
        <v>98</v>
      </c>
      <c r="E14" s="15" t="s">
        <v>88</v>
      </c>
      <c r="F14" s="16" t="s">
        <v>89</v>
      </c>
      <c r="G14" s="0" t="n">
        <v>3</v>
      </c>
      <c r="H14" s="15" t="s">
        <v>64</v>
      </c>
      <c r="I14" s="0" t="n">
        <v>3</v>
      </c>
      <c r="J14" s="3" t="n">
        <v>1.68</v>
      </c>
      <c r="K14" s="3" t="n">
        <f aca="false">I14*J14</f>
        <v>5.04</v>
      </c>
      <c r="L14" s="15" t="s">
        <v>83</v>
      </c>
      <c r="M14" s="7" t="s">
        <v>99</v>
      </c>
    </row>
    <row r="15" customFormat="false" ht="15" hidden="false" customHeight="false" outlineLevel="0" collapsed="false">
      <c r="A15" s="0" t="s">
        <v>100</v>
      </c>
      <c r="B15" s="0" t="s">
        <v>8</v>
      </c>
      <c r="C15" s="7" t="s">
        <v>101</v>
      </c>
      <c r="D15" s="7" t="s">
        <v>98</v>
      </c>
      <c r="E15" s="15" t="s">
        <v>88</v>
      </c>
      <c r="F15" s="16" t="s">
        <v>89</v>
      </c>
      <c r="G15" s="0" t="n">
        <v>3</v>
      </c>
      <c r="H15" s="15" t="s">
        <v>64</v>
      </c>
      <c r="I15" s="0" t="n">
        <v>3</v>
      </c>
      <c r="J15" s="3" t="n">
        <v>0.8</v>
      </c>
      <c r="K15" s="3" t="n">
        <f aca="false">I15*J15</f>
        <v>2.4</v>
      </c>
      <c r="L15" s="15" t="s">
        <v>83</v>
      </c>
      <c r="M15" s="7" t="s">
        <v>99</v>
      </c>
    </row>
    <row r="16" customFormat="false" ht="28.35" hidden="false" customHeight="false" outlineLevel="0" collapsed="false">
      <c r="A16" s="0" t="s">
        <v>102</v>
      </c>
      <c r="B16" s="0" t="s">
        <v>8</v>
      </c>
      <c r="C16" s="7" t="s">
        <v>103</v>
      </c>
      <c r="D16" s="7" t="s">
        <v>104</v>
      </c>
      <c r="E16" s="15" t="s">
        <v>88</v>
      </c>
      <c r="F16" s="16" t="s">
        <v>89</v>
      </c>
      <c r="G16" s="0" t="n">
        <v>1</v>
      </c>
      <c r="H16" s="15" t="s">
        <v>105</v>
      </c>
      <c r="I16" s="0" t="n">
        <v>5</v>
      </c>
      <c r="J16" s="3" t="n">
        <v>2</v>
      </c>
      <c r="K16" s="3" t="n">
        <f aca="false">I16*J16</f>
        <v>10</v>
      </c>
      <c r="L16" s="15" t="s">
        <v>106</v>
      </c>
      <c r="M16" s="7" t="s">
        <v>107</v>
      </c>
    </row>
    <row r="17" customFormat="false" ht="15" hidden="false" customHeight="false" outlineLevel="0" collapsed="false">
      <c r="A17" s="4" t="s">
        <v>9</v>
      </c>
      <c r="B17" s="14"/>
      <c r="C17" s="14"/>
      <c r="D17" s="14"/>
      <c r="E17" s="14"/>
      <c r="F17" s="14"/>
      <c r="G17" s="14"/>
      <c r="H17" s="14"/>
      <c r="I17" s="14"/>
      <c r="J17" s="14"/>
      <c r="K17" s="14"/>
      <c r="L17" s="14"/>
      <c r="M17" s="14"/>
    </row>
    <row r="18" customFormat="false" ht="28.35" hidden="false" customHeight="false" outlineLevel="0" collapsed="false">
      <c r="A18" s="0" t="s">
        <v>108</v>
      </c>
      <c r="B18" s="0" t="s">
        <v>9</v>
      </c>
      <c r="C18" s="7" t="s">
        <v>109</v>
      </c>
      <c r="D18" s="7" t="s">
        <v>110</v>
      </c>
      <c r="E18" s="15" t="s">
        <v>111</v>
      </c>
      <c r="F18" s="16" t="s">
        <v>112</v>
      </c>
      <c r="G18" s="0" t="n">
        <v>2</v>
      </c>
      <c r="H18" s="15" t="s">
        <v>64</v>
      </c>
      <c r="I18" s="0" t="n">
        <v>2</v>
      </c>
      <c r="J18" s="3" t="n">
        <v>18.26</v>
      </c>
      <c r="K18" s="3" t="n">
        <f aca="false">I18*J18</f>
        <v>36.52</v>
      </c>
      <c r="L18" s="15" t="s">
        <v>106</v>
      </c>
      <c r="M18" s="7" t="s">
        <v>113</v>
      </c>
    </row>
    <row r="19" customFormat="false" ht="28.35" hidden="false" customHeight="false" outlineLevel="0" collapsed="false">
      <c r="A19" s="0" t="s">
        <v>114</v>
      </c>
      <c r="B19" s="0" t="s">
        <v>9</v>
      </c>
      <c r="C19" s="7" t="s">
        <v>115</v>
      </c>
      <c r="D19" s="7" t="s">
        <v>116</v>
      </c>
      <c r="E19" s="15" t="s">
        <v>111</v>
      </c>
      <c r="F19" s="16" t="s">
        <v>117</v>
      </c>
      <c r="G19" s="0" t="n">
        <v>1</v>
      </c>
      <c r="H19" s="15" t="s">
        <v>64</v>
      </c>
      <c r="I19" s="0" t="n">
        <v>2</v>
      </c>
      <c r="J19" s="3" t="n">
        <v>5.73</v>
      </c>
      <c r="K19" s="3" t="n">
        <f aca="false">I19*J19</f>
        <v>11.46</v>
      </c>
      <c r="L19" s="15" t="s">
        <v>118</v>
      </c>
      <c r="M19" s="7" t="s">
        <v>119</v>
      </c>
    </row>
    <row r="20" customFormat="false" ht="28.35" hidden="false" customHeight="false" outlineLevel="0" collapsed="false">
      <c r="A20" s="0" t="s">
        <v>120</v>
      </c>
      <c r="B20" s="0" t="s">
        <v>9</v>
      </c>
      <c r="C20" s="7" t="s">
        <v>121</v>
      </c>
      <c r="D20" s="7" t="s">
        <v>122</v>
      </c>
      <c r="E20" s="15" t="s">
        <v>111</v>
      </c>
      <c r="F20" s="16" t="s">
        <v>123</v>
      </c>
      <c r="G20" s="0" t="n">
        <v>1</v>
      </c>
      <c r="H20" s="15" t="s">
        <v>64</v>
      </c>
      <c r="I20" s="0" t="n">
        <v>2</v>
      </c>
      <c r="J20" s="3" t="n">
        <v>2.09</v>
      </c>
      <c r="K20" s="3" t="n">
        <f aca="false">I20*J20</f>
        <v>4.18</v>
      </c>
      <c r="L20" s="15" t="s">
        <v>83</v>
      </c>
      <c r="M20" s="7" t="s">
        <v>124</v>
      </c>
    </row>
    <row r="21" customFormat="false" ht="28.35" hidden="false" customHeight="false" outlineLevel="0" collapsed="false">
      <c r="A21" s="0" t="s">
        <v>125</v>
      </c>
      <c r="B21" s="0" t="s">
        <v>9</v>
      </c>
      <c r="C21" s="7" t="s">
        <v>126</v>
      </c>
      <c r="D21" s="7" t="s">
        <v>127</v>
      </c>
      <c r="E21" s="15" t="s">
        <v>128</v>
      </c>
      <c r="F21" s="16" t="s">
        <v>129</v>
      </c>
      <c r="G21" s="0" t="n">
        <v>5</v>
      </c>
      <c r="H21" s="15" t="s">
        <v>64</v>
      </c>
      <c r="I21" s="0" t="n">
        <v>6</v>
      </c>
      <c r="J21" s="3" t="n">
        <v>6.7247</v>
      </c>
      <c r="K21" s="3" t="n">
        <f aca="false">I21*J21</f>
        <v>40.3482</v>
      </c>
      <c r="L21" s="15" t="s">
        <v>65</v>
      </c>
      <c r="M21" s="7" t="s">
        <v>130</v>
      </c>
    </row>
    <row r="22" customFormat="false" ht="28.35" hidden="false" customHeight="false" outlineLevel="0" collapsed="false">
      <c r="A22" s="0" t="s">
        <v>131</v>
      </c>
      <c r="B22" s="0" t="s">
        <v>9</v>
      </c>
      <c r="C22" s="7" t="s">
        <v>132</v>
      </c>
      <c r="D22" s="7" t="s">
        <v>133</v>
      </c>
      <c r="E22" s="15" t="s">
        <v>128</v>
      </c>
      <c r="F22" s="7" t="s">
        <v>134</v>
      </c>
      <c r="G22" s="0" t="n">
        <v>1</v>
      </c>
      <c r="H22" s="15" t="s">
        <v>135</v>
      </c>
      <c r="I22" s="0" t="n">
        <v>1</v>
      </c>
      <c r="J22" s="3" t="n">
        <v>40</v>
      </c>
      <c r="K22" s="3" t="n">
        <f aca="false">I22*J22</f>
        <v>40</v>
      </c>
      <c r="L22" s="15" t="s">
        <v>106</v>
      </c>
      <c r="M22" s="7" t="s">
        <v>136</v>
      </c>
    </row>
    <row r="23" customFormat="false" ht="15" hidden="false" customHeight="false" outlineLevel="0" collapsed="false">
      <c r="A23" s="4" t="s">
        <v>10</v>
      </c>
      <c r="B23" s="14"/>
      <c r="C23" s="14"/>
      <c r="D23" s="14"/>
      <c r="E23" s="14"/>
      <c r="F23" s="14"/>
      <c r="G23" s="14"/>
      <c r="H23" s="14"/>
      <c r="I23" s="14"/>
      <c r="J23" s="14"/>
      <c r="K23" s="14"/>
      <c r="L23" s="14"/>
      <c r="M23" s="14"/>
    </row>
    <row r="24" customFormat="false" ht="41.75" hidden="false" customHeight="false" outlineLevel="0" collapsed="false">
      <c r="A24" s="0" t="s">
        <v>137</v>
      </c>
      <c r="B24" s="0" t="s">
        <v>10</v>
      </c>
      <c r="C24" s="7" t="s">
        <v>138</v>
      </c>
      <c r="D24" s="7" t="s">
        <v>139</v>
      </c>
      <c r="E24" s="15" t="s">
        <v>140</v>
      </c>
      <c r="F24" s="16" t="s">
        <v>141</v>
      </c>
      <c r="G24" s="0" t="n">
        <v>1</v>
      </c>
      <c r="H24" s="15" t="s">
        <v>64</v>
      </c>
      <c r="I24" s="0" t="n">
        <v>1</v>
      </c>
      <c r="J24" s="3" t="n">
        <v>67.85</v>
      </c>
      <c r="K24" s="3" t="n">
        <f aca="false">I24*J24</f>
        <v>67.85</v>
      </c>
      <c r="L24" s="15" t="s">
        <v>106</v>
      </c>
      <c r="M24" s="7" t="s">
        <v>142</v>
      </c>
    </row>
    <row r="25" customFormat="false" ht="55.2" hidden="false" customHeight="false" outlineLevel="0" collapsed="false">
      <c r="A25" s="0" t="s">
        <v>143</v>
      </c>
      <c r="B25" s="0" t="s">
        <v>10</v>
      </c>
      <c r="C25" s="7" t="s">
        <v>144</v>
      </c>
      <c r="D25" s="7" t="s">
        <v>145</v>
      </c>
      <c r="E25" s="15" t="s">
        <v>146</v>
      </c>
      <c r="F25" s="16" t="s">
        <v>147</v>
      </c>
      <c r="G25" s="0" t="n">
        <v>2</v>
      </c>
      <c r="H25" s="15" t="s">
        <v>148</v>
      </c>
      <c r="I25" s="0" t="n">
        <v>1</v>
      </c>
      <c r="J25" s="3" t="n">
        <v>20.85</v>
      </c>
      <c r="K25" s="3" t="n">
        <f aca="false">I25*J25</f>
        <v>20.85</v>
      </c>
      <c r="L25" s="15" t="s">
        <v>65</v>
      </c>
      <c r="M25" s="7" t="s">
        <v>149</v>
      </c>
    </row>
    <row r="26" customFormat="false" ht="28.35" hidden="false" customHeight="false" outlineLevel="0" collapsed="false">
      <c r="A26" s="0" t="s">
        <v>150</v>
      </c>
      <c r="B26" s="0" t="s">
        <v>10</v>
      </c>
      <c r="C26" s="7" t="s">
        <v>151</v>
      </c>
      <c r="D26" s="7" t="s">
        <v>152</v>
      </c>
      <c r="E26" s="15" t="s">
        <v>111</v>
      </c>
      <c r="F26" s="16" t="s">
        <v>153</v>
      </c>
      <c r="G26" s="0" t="n">
        <v>2</v>
      </c>
      <c r="H26" s="15" t="s">
        <v>64</v>
      </c>
      <c r="I26" s="0" t="n">
        <v>2</v>
      </c>
      <c r="J26" s="3" t="n">
        <v>2.99</v>
      </c>
      <c r="K26" s="3" t="n">
        <f aca="false">I26*J26</f>
        <v>5.98</v>
      </c>
      <c r="L26" s="15" t="s">
        <v>118</v>
      </c>
      <c r="M26" s="7" t="s">
        <v>154</v>
      </c>
    </row>
    <row r="27" customFormat="false" ht="15" hidden="false" customHeight="false" outlineLevel="0" collapsed="false">
      <c r="A27" s="4" t="s">
        <v>11</v>
      </c>
      <c r="B27" s="14"/>
      <c r="C27" s="14"/>
      <c r="D27" s="14"/>
      <c r="E27" s="14"/>
      <c r="F27" s="14"/>
      <c r="G27" s="14"/>
      <c r="H27" s="14"/>
      <c r="I27" s="14"/>
      <c r="J27" s="14"/>
      <c r="K27" s="14"/>
      <c r="L27" s="14"/>
      <c r="M27" s="14"/>
    </row>
    <row r="28" customFormat="false" ht="15" hidden="false" customHeight="false" outlineLevel="0" collapsed="false">
      <c r="A28" s="0" t="s">
        <v>155</v>
      </c>
      <c r="B28" s="0" t="s">
        <v>11</v>
      </c>
      <c r="C28" s="7" t="s">
        <v>156</v>
      </c>
      <c r="D28" s="7" t="s">
        <v>157</v>
      </c>
      <c r="E28" s="15" t="s">
        <v>158</v>
      </c>
      <c r="F28" s="16" t="s">
        <v>159</v>
      </c>
      <c r="G28" s="0" t="n">
        <v>1</v>
      </c>
      <c r="H28" s="15" t="s">
        <v>64</v>
      </c>
      <c r="I28" s="0" t="n">
        <v>1</v>
      </c>
      <c r="J28" s="3" t="n">
        <v>31.5</v>
      </c>
      <c r="K28" s="3" t="n">
        <f aca="false">I28*J28</f>
        <v>31.5</v>
      </c>
      <c r="L28" s="15" t="s">
        <v>65</v>
      </c>
      <c r="M28" s="7" t="s">
        <v>160</v>
      </c>
    </row>
    <row r="29" customFormat="false" ht="122.35" hidden="false" customHeight="false" outlineLevel="0" collapsed="false">
      <c r="A29" s="0" t="s">
        <v>161</v>
      </c>
      <c r="B29" s="0" t="s">
        <v>11</v>
      </c>
      <c r="C29" s="7" t="s">
        <v>162</v>
      </c>
      <c r="D29" s="7" t="s">
        <v>163</v>
      </c>
      <c r="E29" s="15" t="s">
        <v>70</v>
      </c>
      <c r="F29" s="16" t="s">
        <v>164</v>
      </c>
      <c r="G29" s="0" t="n">
        <v>2</v>
      </c>
      <c r="H29" s="15" t="s">
        <v>64</v>
      </c>
      <c r="I29" s="0" t="n">
        <v>2</v>
      </c>
      <c r="J29" s="3" t="n">
        <v>11.5</v>
      </c>
      <c r="K29" s="3" t="n">
        <f aca="false">I29*J29</f>
        <v>23</v>
      </c>
      <c r="L29" s="15" t="s">
        <v>65</v>
      </c>
      <c r="M29" s="7" t="s">
        <v>165</v>
      </c>
    </row>
    <row r="30" customFormat="false" ht="15" hidden="false" customHeight="false" outlineLevel="0" collapsed="false">
      <c r="A30" s="4" t="s">
        <v>12</v>
      </c>
      <c r="B30" s="14"/>
      <c r="C30" s="14"/>
      <c r="D30" s="14"/>
      <c r="E30" s="14"/>
      <c r="F30" s="14"/>
      <c r="G30" s="14"/>
      <c r="H30" s="14"/>
      <c r="I30" s="14"/>
      <c r="J30" s="14"/>
      <c r="K30" s="14"/>
      <c r="L30" s="14"/>
      <c r="M30" s="14"/>
    </row>
    <row r="31" customFormat="false" ht="82.05" hidden="false" customHeight="false" outlineLevel="0" collapsed="false">
      <c r="A31" s="0" t="s">
        <v>166</v>
      </c>
      <c r="B31" s="0" t="s">
        <v>12</v>
      </c>
      <c r="C31" s="7" t="s">
        <v>167</v>
      </c>
      <c r="D31" s="7" t="s">
        <v>168</v>
      </c>
      <c r="E31" s="15" t="s">
        <v>169</v>
      </c>
      <c r="F31" s="16" t="s">
        <v>170</v>
      </c>
      <c r="G31" s="0" t="n">
        <v>1</v>
      </c>
      <c r="H31" s="15" t="s">
        <v>171</v>
      </c>
      <c r="I31" s="0" t="n">
        <v>1</v>
      </c>
      <c r="J31" s="3" t="n">
        <v>19.99</v>
      </c>
      <c r="K31" s="3" t="n">
        <f aca="false">I31*J31</f>
        <v>19.99</v>
      </c>
      <c r="L31" s="15" t="s">
        <v>65</v>
      </c>
      <c r="M31" s="7" t="s">
        <v>172</v>
      </c>
    </row>
    <row r="32" customFormat="false" ht="15" hidden="false" customHeight="false" outlineLevel="0" collapsed="false">
      <c r="A32" s="0" t="s">
        <v>173</v>
      </c>
      <c r="B32" s="0" t="s">
        <v>12</v>
      </c>
      <c r="C32" s="7" t="s">
        <v>174</v>
      </c>
      <c r="D32" s="7" t="s">
        <v>175</v>
      </c>
      <c r="E32" s="15" t="s">
        <v>176</v>
      </c>
      <c r="F32" s="16" t="s">
        <v>177</v>
      </c>
      <c r="G32" s="0" t="n">
        <v>3</v>
      </c>
      <c r="H32" s="15" t="s">
        <v>178</v>
      </c>
      <c r="I32" s="0" t="n">
        <v>1</v>
      </c>
      <c r="J32" s="3" t="n">
        <v>9.99</v>
      </c>
      <c r="K32" s="3" t="n">
        <f aca="false">I32*J32</f>
        <v>9.99</v>
      </c>
      <c r="L32" s="15" t="s">
        <v>65</v>
      </c>
      <c r="M32" s="7" t="s">
        <v>179</v>
      </c>
    </row>
    <row r="33" customFormat="false" ht="28.35" hidden="false" customHeight="false" outlineLevel="0" collapsed="false">
      <c r="A33" s="0" t="s">
        <v>180</v>
      </c>
      <c r="B33" s="0" t="s">
        <v>12</v>
      </c>
      <c r="C33" s="7" t="s">
        <v>181</v>
      </c>
      <c r="D33" s="7" t="s">
        <v>182</v>
      </c>
      <c r="E33" s="15" t="s">
        <v>183</v>
      </c>
      <c r="F33" s="16" t="s">
        <v>184</v>
      </c>
      <c r="G33" s="0" t="n">
        <v>2</v>
      </c>
      <c r="H33" s="15" t="s">
        <v>185</v>
      </c>
      <c r="I33" s="0" t="n">
        <v>1</v>
      </c>
      <c r="J33" s="3" t="n">
        <v>30</v>
      </c>
      <c r="K33" s="3" t="n">
        <f aca="false">I33*J33</f>
        <v>30</v>
      </c>
      <c r="L33" s="15" t="s">
        <v>65</v>
      </c>
      <c r="M33" s="7" t="s">
        <v>186</v>
      </c>
    </row>
    <row r="34" customFormat="false" ht="28.35" hidden="false" customHeight="false" outlineLevel="0" collapsed="false">
      <c r="A34" s="0" t="s">
        <v>187</v>
      </c>
      <c r="B34" s="0" t="s">
        <v>12</v>
      </c>
      <c r="C34" s="7" t="s">
        <v>188</v>
      </c>
      <c r="D34" s="7" t="s">
        <v>189</v>
      </c>
      <c r="E34" s="15" t="s">
        <v>190</v>
      </c>
      <c r="F34" s="16" t="s">
        <v>191</v>
      </c>
      <c r="G34" s="0" t="n">
        <v>1</v>
      </c>
      <c r="H34" s="15" t="s">
        <v>192</v>
      </c>
      <c r="I34" s="0" t="n">
        <v>1</v>
      </c>
      <c r="J34" s="3" t="n">
        <v>35</v>
      </c>
      <c r="K34" s="3" t="n">
        <f aca="false">I34*J34</f>
        <v>35</v>
      </c>
      <c r="L34" s="15" t="s">
        <v>106</v>
      </c>
      <c r="M34" s="7" t="s">
        <v>193</v>
      </c>
    </row>
    <row r="35" customFormat="false" ht="15" hidden="false" customHeight="false" outlineLevel="0" collapsed="false">
      <c r="A35" s="0" t="s">
        <v>2</v>
      </c>
    </row>
    <row r="36" customFormat="false" ht="15" hidden="false" customHeight="false" outlineLevel="0" collapsed="false">
      <c r="C36" s="11" t="s">
        <v>194</v>
      </c>
      <c r="K36" s="12" t="n">
        <f aca="false">SUM(K5:K34)</f>
        <v>1054.0182</v>
      </c>
    </row>
  </sheetData>
  <hyperlinks>
    <hyperlink ref="F6" r:id="rId1" display="https://www.piezodrive.com/product/tb3006-n-29um-range-piezo-tube-scanner/"/>
    <hyperlink ref="F8" r:id="rId2" display="https://www.adafruit.com/product/324"/>
    <hyperlink ref="F9" r:id="rId3" display="https://adafruit.com/product/6121"/>
    <hyperlink ref="F10" r:id="rId4" display="https://www.thorlabs.com/thorproduct.cfm?partnumber=FAS200"/>
    <hyperlink ref="F12" r:id="rId5" display="https://jlcpcb.com/"/>
    <hyperlink ref="F13" r:id="rId6" display="https://jlcpcb.com/"/>
    <hyperlink ref="F14" r:id="rId7" display="https://jlcpcb.com/"/>
    <hyperlink ref="F15" r:id="rId8" display="https://jlcpcb.com/"/>
    <hyperlink ref="F16" r:id="rId9" display="https://jlcpcb.com/"/>
    <hyperlink ref="F18" r:id="rId10" display="https://www.digikey.com/en/products/detail/analog-devices-inc/LT1469IN8-PBF/962892"/>
    <hyperlink ref="F19" r:id="rId11" display="https://www.digikey.com/en/products/detail/ohmite/SM104031007FE/824190"/>
    <hyperlink ref="F20" r:id="rId12" display="https://octopart.com/part/keystone/11301"/>
    <hyperlink ref="F21" r:id="rId13" display="https://www.lcsc.com/product-detail/C50636.html"/>
    <hyperlink ref="F24" r:id="rId14" display="https://www.jameco.com/z/182M18-Hammond-Manufacturing-Toroidal-Transformer-120VA-50Hz-Dual-Secondary-36VCT-3-33A-Series-18V-6-66A-Parallel_2575671.html"/>
    <hyperlink ref="F25" r:id="rId15" display="https://batteryjunction.com/batteries/shop-by-size/9v/energizer-522bp-4"/>
    <hyperlink ref="F26" r:id="rId16" display="https://octopart.com/part/keystone/1294"/>
    <hyperlink ref="F28" r:id="rId17" display="https://www.sparkfun.com/teensy-4-1.html"/>
    <hyperlink ref="F29" r:id="rId18" display="https://adafruit.com/product/4821"/>
    <hyperlink ref="F31" r:id="rId19" display="https://store.sunlu.com/products/petg-cfpetg-carbon-fiber-3d-printer-filament-1kg"/>
    <hyperlink ref="F32" r:id="rId20" display="https://www.walmart.com/ip/533082272"/>
    <hyperlink ref="F33" r:id="rId21" display="https://www.tedpella.com/AFM_html/AFM.aspx"/>
    <hyperlink ref="F34" r:id="rId22" display="https://www.isolateit.com/products/sorbothane-acoustic-and-vibration-isolation-square-6-x-6-pad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11"/>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2"/>
    <col collapsed="false" customWidth="true" hidden="false" outlineLevel="0" max="8" min="8" style="0" width="50"/>
    <col collapsed="false" customWidth="true" hidden="false" outlineLevel="0" max="10" min="9" style="0" width="13"/>
  </cols>
  <sheetData>
    <row r="1" customFormat="false" ht="17.35" hidden="false" customHeight="false" outlineLevel="0" collapsed="false">
      <c r="A1" s="13" t="s">
        <v>195</v>
      </c>
    </row>
    <row r="2" customFormat="false" ht="15" hidden="false" customHeight="false" outlineLevel="0" collapsed="false">
      <c r="A2" s="0" t="s">
        <v>196</v>
      </c>
    </row>
    <row r="3" customFormat="false" ht="15" hidden="false" customHeight="false" outlineLevel="0" collapsed="false">
      <c r="A3" s="0" t="s">
        <v>2</v>
      </c>
    </row>
    <row r="4" customFormat="false" ht="28.35" hidden="false" customHeight="false" outlineLevel="0" collapsed="false">
      <c r="A4" s="2" t="s">
        <v>51</v>
      </c>
      <c r="B4" s="2" t="s">
        <v>197</v>
      </c>
      <c r="C4" s="2" t="s">
        <v>198</v>
      </c>
      <c r="D4" s="2" t="s">
        <v>199</v>
      </c>
      <c r="E4" s="2" t="s">
        <v>200</v>
      </c>
      <c r="F4" s="2" t="s">
        <v>201</v>
      </c>
      <c r="G4" s="2" t="s">
        <v>202</v>
      </c>
      <c r="H4" s="2" t="s">
        <v>203</v>
      </c>
      <c r="I4" s="2" t="s">
        <v>204</v>
      </c>
      <c r="J4" s="2" t="s">
        <v>205</v>
      </c>
    </row>
    <row r="5" customFormat="false" ht="15" hidden="false" customHeight="false" outlineLevel="0" collapsed="false">
      <c r="A5" s="0" t="s">
        <v>62</v>
      </c>
      <c r="B5" s="3" t="n">
        <f aca="false">SUMIF('Detailed BOM'!$E$5:$E$34,A5,'Detailed BOM'!$K$5:$K$34)</f>
        <v>131</v>
      </c>
      <c r="C5" s="3" t="n">
        <v>60</v>
      </c>
      <c r="D5" s="15" t="s">
        <v>106</v>
      </c>
      <c r="E5" s="15" t="s">
        <v>206</v>
      </c>
      <c r="F5" s="17" t="n">
        <v>0.1</v>
      </c>
      <c r="G5" s="3" t="n">
        <f aca="false">B5*F5</f>
        <v>13.1</v>
      </c>
      <c r="H5" s="15" t="s">
        <v>207</v>
      </c>
      <c r="I5" s="3" t="n">
        <f aca="false">B5*Assumptions!$B$5</f>
        <v>10.1525</v>
      </c>
      <c r="J5" s="3" t="n">
        <f aca="false">B5+C5+G5+I5</f>
        <v>214.2525</v>
      </c>
    </row>
    <row r="6" customFormat="false" ht="15" hidden="false" customHeight="false" outlineLevel="0" collapsed="false">
      <c r="A6" s="0" t="s">
        <v>70</v>
      </c>
      <c r="B6" s="3" t="n">
        <f aca="false">SUMIF('Detailed BOM'!$E$5:$E$34,A6,'Detailed BOM'!$K$5:$K$34)</f>
        <v>45.95</v>
      </c>
      <c r="C6" s="3" t="n">
        <v>6</v>
      </c>
      <c r="D6" s="15" t="s">
        <v>106</v>
      </c>
      <c r="F6" s="17" t="n">
        <v>0</v>
      </c>
      <c r="G6" s="3" t="n">
        <f aca="false">B6*F6</f>
        <v>0</v>
      </c>
      <c r="I6" s="3" t="n">
        <f aca="false">B6*Assumptions!$B$5</f>
        <v>3.561125</v>
      </c>
      <c r="J6" s="3" t="n">
        <f aca="false">B6+C6+G6+I6</f>
        <v>55.511125</v>
      </c>
    </row>
    <row r="7" customFormat="false" ht="15" hidden="false" customHeight="false" outlineLevel="0" collapsed="false">
      <c r="A7" s="0" t="s">
        <v>81</v>
      </c>
      <c r="B7" s="3" t="n">
        <f aca="false">SUMIF('Detailed BOM'!$E$5:$E$34,A7,'Detailed BOM'!$K$5:$K$34)</f>
        <v>26.34</v>
      </c>
      <c r="C7" s="3" t="n">
        <v>15.26</v>
      </c>
      <c r="D7" s="15" t="s">
        <v>83</v>
      </c>
      <c r="E7" s="15" t="s">
        <v>208</v>
      </c>
      <c r="F7" s="17" t="n">
        <v>0</v>
      </c>
      <c r="G7" s="3" t="n">
        <f aca="false">B7*F7</f>
        <v>0</v>
      </c>
      <c r="H7" s="15" t="s">
        <v>209</v>
      </c>
      <c r="I7" s="3" t="n">
        <f aca="false">B7*Assumptions!$B$5</f>
        <v>2.04135</v>
      </c>
      <c r="J7" s="3" t="n">
        <f aca="false">B7+C7+G7+I7</f>
        <v>43.64135</v>
      </c>
    </row>
    <row r="8" customFormat="false" ht="15" hidden="false" customHeight="false" outlineLevel="0" collapsed="false">
      <c r="A8" s="0" t="s">
        <v>88</v>
      </c>
      <c r="B8" s="3" t="n">
        <f aca="false">SUMIF('Detailed BOM'!$E$5:$E$34,A8,'Detailed BOM'!$K$5:$K$34)</f>
        <v>497.06</v>
      </c>
      <c r="C8" s="3" t="n">
        <v>50.3</v>
      </c>
      <c r="D8" s="15" t="s">
        <v>83</v>
      </c>
      <c r="E8" s="15" t="s">
        <v>210</v>
      </c>
      <c r="F8" s="17" t="n">
        <v>0.35</v>
      </c>
      <c r="G8" s="3" t="n">
        <f aca="false">B8*F8</f>
        <v>173.971</v>
      </c>
      <c r="H8" s="15" t="s">
        <v>211</v>
      </c>
      <c r="I8" s="3" t="n">
        <f aca="false">B8*Assumptions!$B$5</f>
        <v>38.52215</v>
      </c>
      <c r="J8" s="3" t="n">
        <f aca="false">B8+C8+G8+I8</f>
        <v>759.85315</v>
      </c>
    </row>
    <row r="9" customFormat="false" ht="15" hidden="false" customHeight="false" outlineLevel="0" collapsed="false">
      <c r="A9" s="0" t="s">
        <v>111</v>
      </c>
      <c r="B9" s="3" t="n">
        <f aca="false">SUMIF('Detailed BOM'!$E$5:$E$34,A9,'Detailed BOM'!$K$5:$K$34)</f>
        <v>58.14</v>
      </c>
      <c r="C9" s="3" t="n">
        <v>8.49</v>
      </c>
      <c r="D9" s="15" t="s">
        <v>83</v>
      </c>
      <c r="E9" s="15" t="s">
        <v>212</v>
      </c>
      <c r="F9" s="17" t="n">
        <v>0.08</v>
      </c>
      <c r="G9" s="3" t="n">
        <f aca="false">B9*F9</f>
        <v>4.6512</v>
      </c>
      <c r="H9" s="15" t="s">
        <v>213</v>
      </c>
      <c r="I9" s="3" t="n">
        <f aca="false">B9*Assumptions!$B$5</f>
        <v>4.50585</v>
      </c>
      <c r="J9" s="3" t="n">
        <f aca="false">B9+C9+G9+I9</f>
        <v>75.78705</v>
      </c>
    </row>
    <row r="10" customFormat="false" ht="15" hidden="false" customHeight="false" outlineLevel="0" collapsed="false">
      <c r="A10" s="0" t="s">
        <v>128</v>
      </c>
      <c r="B10" s="3" t="n">
        <f aca="false">SUMIF('Detailed BOM'!$E$5:$E$34,A10,'Detailed BOM'!$K$5:$K$34)</f>
        <v>80.3482</v>
      </c>
      <c r="C10" s="3" t="n">
        <v>22.21</v>
      </c>
      <c r="D10" s="15" t="s">
        <v>106</v>
      </c>
      <c r="E10" s="15" t="s">
        <v>214</v>
      </c>
      <c r="F10" s="17" t="n">
        <v>0.35</v>
      </c>
      <c r="G10" s="3" t="n">
        <f aca="false">B10*F10</f>
        <v>28.12187</v>
      </c>
      <c r="H10" s="15" t="s">
        <v>215</v>
      </c>
      <c r="I10" s="3" t="n">
        <f aca="false">B10*Assumptions!$B$5</f>
        <v>6.2269855</v>
      </c>
      <c r="J10" s="3" t="n">
        <f aca="false">B10+C10+G10+I10</f>
        <v>136.9070555</v>
      </c>
    </row>
    <row r="11" customFormat="false" ht="15" hidden="false" customHeight="false" outlineLevel="0" collapsed="false">
      <c r="A11" s="0" t="s">
        <v>140</v>
      </c>
      <c r="B11" s="3" t="n">
        <f aca="false">SUMIF('Detailed BOM'!$E$5:$E$34,A11,'Detailed BOM'!$K$5:$K$34)</f>
        <v>67.85</v>
      </c>
      <c r="C11" s="3" t="n">
        <v>8</v>
      </c>
      <c r="D11" s="15" t="s">
        <v>106</v>
      </c>
      <c r="F11" s="17" t="n">
        <v>0</v>
      </c>
      <c r="G11" s="3" t="n">
        <f aca="false">B11*F11</f>
        <v>0</v>
      </c>
      <c r="I11" s="3" t="n">
        <f aca="false">B11*Assumptions!$B$5</f>
        <v>5.258375</v>
      </c>
      <c r="J11" s="3" t="n">
        <f aca="false">B11+C11+G11+I11</f>
        <v>81.108375</v>
      </c>
    </row>
    <row r="12" customFormat="false" ht="15" hidden="false" customHeight="false" outlineLevel="0" collapsed="false">
      <c r="A12" s="0" t="s">
        <v>146</v>
      </c>
      <c r="B12" s="3" t="n">
        <f aca="false">SUMIF('Detailed BOM'!$E$5:$E$34,A12,'Detailed BOM'!$K$5:$K$34)</f>
        <v>20.85</v>
      </c>
      <c r="C12" s="3" t="n">
        <v>6</v>
      </c>
      <c r="D12" s="15" t="s">
        <v>106</v>
      </c>
      <c r="F12" s="17" t="n">
        <v>0</v>
      </c>
      <c r="G12" s="3" t="n">
        <f aca="false">B12*F12</f>
        <v>0</v>
      </c>
      <c r="I12" s="3" t="n">
        <f aca="false">B12*Assumptions!$B$5</f>
        <v>1.615875</v>
      </c>
      <c r="J12" s="3" t="n">
        <f aca="false">B12+C12+G12+I12</f>
        <v>28.465875</v>
      </c>
    </row>
    <row r="13" customFormat="false" ht="15" hidden="false" customHeight="false" outlineLevel="0" collapsed="false">
      <c r="A13" s="0" t="s">
        <v>158</v>
      </c>
      <c r="B13" s="3" t="n">
        <f aca="false">SUMIF('Detailed BOM'!$E$5:$E$34,A13,'Detailed BOM'!$K$5:$K$34)</f>
        <v>31.5</v>
      </c>
      <c r="C13" s="3" t="n">
        <v>8</v>
      </c>
      <c r="D13" s="15" t="s">
        <v>106</v>
      </c>
      <c r="F13" s="17" t="n">
        <v>0</v>
      </c>
      <c r="G13" s="3" t="n">
        <f aca="false">B13*F13</f>
        <v>0</v>
      </c>
      <c r="I13" s="3" t="n">
        <f aca="false">B13*Assumptions!$B$5</f>
        <v>2.44125</v>
      </c>
      <c r="J13" s="3" t="n">
        <f aca="false">B13+C13+G13+I13</f>
        <v>41.94125</v>
      </c>
    </row>
    <row r="14" customFormat="false" ht="15" hidden="false" customHeight="false" outlineLevel="0" collapsed="false">
      <c r="A14" s="0" t="s">
        <v>169</v>
      </c>
      <c r="B14" s="3" t="n">
        <f aca="false">SUMIF('Detailed BOM'!$E$5:$E$34,A14,'Detailed BOM'!$K$5:$K$34)</f>
        <v>19.99</v>
      </c>
      <c r="C14" s="3" t="n">
        <v>0</v>
      </c>
      <c r="D14" s="15" t="s">
        <v>106</v>
      </c>
      <c r="E14" s="15" t="s">
        <v>216</v>
      </c>
      <c r="F14" s="17" t="n">
        <v>0</v>
      </c>
      <c r="G14" s="3" t="n">
        <f aca="false">B14*F14</f>
        <v>0</v>
      </c>
      <c r="I14" s="3" t="n">
        <f aca="false">B14*Assumptions!$B$5</f>
        <v>1.549225</v>
      </c>
      <c r="J14" s="3" t="n">
        <f aca="false">B14+C14+G14+I14</f>
        <v>21.539225</v>
      </c>
    </row>
    <row r="15" customFormat="false" ht="15" hidden="false" customHeight="false" outlineLevel="0" collapsed="false">
      <c r="A15" s="0" t="s">
        <v>176</v>
      </c>
      <c r="B15" s="3" t="n">
        <f aca="false">SUMIF('Detailed BOM'!$E$5:$E$34,A15,'Detailed BOM'!$K$5:$K$34)</f>
        <v>9.99</v>
      </c>
      <c r="C15" s="3" t="n">
        <v>0</v>
      </c>
      <c r="D15" s="15" t="s">
        <v>106</v>
      </c>
      <c r="F15" s="17" t="n">
        <v>0</v>
      </c>
      <c r="G15" s="3" t="n">
        <f aca="false">B15*F15</f>
        <v>0</v>
      </c>
      <c r="I15" s="3" t="n">
        <f aca="false">B15*Assumptions!$B$5</f>
        <v>0.774225</v>
      </c>
      <c r="J15" s="3" t="n">
        <f aca="false">B15+C15+G15+I15</f>
        <v>10.764225</v>
      </c>
    </row>
    <row r="16" customFormat="false" ht="15" hidden="false" customHeight="false" outlineLevel="0" collapsed="false">
      <c r="A16" s="0" t="s">
        <v>183</v>
      </c>
      <c r="B16" s="3" t="n">
        <f aca="false">SUMIF('Detailed BOM'!$E$5:$E$34,A16,'Detailed BOM'!$K$5:$K$34)</f>
        <v>30</v>
      </c>
      <c r="C16" s="3" t="n">
        <v>12</v>
      </c>
      <c r="D16" s="15" t="s">
        <v>106</v>
      </c>
      <c r="F16" s="17" t="n">
        <v>0</v>
      </c>
      <c r="G16" s="3" t="n">
        <f aca="false">B16*F16</f>
        <v>0</v>
      </c>
      <c r="I16" s="3" t="n">
        <f aca="false">B16*Assumptions!$B$5</f>
        <v>2.325</v>
      </c>
      <c r="J16" s="3" t="n">
        <f aca="false">B16+C16+G16+I16</f>
        <v>44.325</v>
      </c>
    </row>
    <row r="17" customFormat="false" ht="15" hidden="false" customHeight="false" outlineLevel="0" collapsed="false">
      <c r="A17" s="0" t="s">
        <v>190</v>
      </c>
      <c r="B17" s="3" t="n">
        <f aca="false">SUMIF('Detailed BOM'!$E$5:$E$34,A17,'Detailed BOM'!$K$5:$K$34)</f>
        <v>35</v>
      </c>
      <c r="C17" s="3" t="n">
        <v>8</v>
      </c>
      <c r="D17" s="15" t="s">
        <v>106</v>
      </c>
      <c r="F17" s="17" t="n">
        <v>0</v>
      </c>
      <c r="G17" s="3" t="n">
        <f aca="false">B17*F17</f>
        <v>0</v>
      </c>
      <c r="I17" s="3" t="n">
        <f aca="false">B17*Assumptions!$B$5</f>
        <v>2.7125</v>
      </c>
      <c r="J17" s="3" t="n">
        <f aca="false">B17+C17+G17+I17</f>
        <v>45.7125</v>
      </c>
    </row>
    <row r="18" customFormat="false" ht="15" hidden="false" customHeight="false" outlineLevel="0" collapsed="false">
      <c r="A18" s="0" t="s">
        <v>217</v>
      </c>
      <c r="B18" s="0" t="n">
        <v>0</v>
      </c>
      <c r="C18" s="0" t="n">
        <v>0</v>
      </c>
      <c r="D18" s="0" t="s">
        <v>106</v>
      </c>
      <c r="G18" s="0" t="n">
        <v>0</v>
      </c>
      <c r="H18" s="0" t="s">
        <v>218</v>
      </c>
      <c r="I18" s="0" t="n">
        <v>0</v>
      </c>
      <c r="J18" s="3" t="n">
        <f aca="false">Assumptions!$B$7</f>
        <v>65</v>
      </c>
    </row>
    <row r="19" customFormat="false" ht="15" hidden="false" customHeight="false" outlineLevel="0" collapsed="false">
      <c r="A19" s="0" t="s">
        <v>2</v>
      </c>
    </row>
    <row r="20" customFormat="false" ht="15" hidden="false" customHeight="false" outlineLevel="0" collapsed="false">
      <c r="A20" s="8" t="s">
        <v>219</v>
      </c>
      <c r="B20" s="9" t="n">
        <f aca="false">SUM(B5:B17)</f>
        <v>1054.0182</v>
      </c>
      <c r="C20" s="9" t="n">
        <f aca="false">SUM(C5:C17)</f>
        <v>204.26</v>
      </c>
      <c r="D20" s="8"/>
      <c r="E20" s="8"/>
      <c r="F20" s="8"/>
      <c r="G20" s="9" t="n">
        <f aca="false">SUM(G5:G17)</f>
        <v>219.84407</v>
      </c>
      <c r="H20" s="8"/>
      <c r="I20" s="9" t="n">
        <f aca="false">SUM(I5:I17)</f>
        <v>81.6864105</v>
      </c>
      <c r="J20" s="9" t="n">
        <f aca="false">SUM(J5:J18)</f>
        <v>1624.8086805</v>
      </c>
    </row>
    <row r="21" customFormat="false" ht="15" hidden="false" customHeight="false" outlineLevel="0" collapsed="false">
      <c r="A21" s="0" t="s">
        <v>2</v>
      </c>
    </row>
    <row r="22" customFormat="false" ht="15" hidden="false" customHeight="false" outlineLevel="0" collapsed="false">
      <c r="A22" s="0" t="s">
        <v>220</v>
      </c>
      <c r="B22" s="3" t="n">
        <f aca="false">B20-'Detailed BOM'!K36</f>
        <v>0</v>
      </c>
      <c r="C22" s="15"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6"/>
    <col collapsed="false" customWidth="true" hidden="false" outlineLevel="0" max="3" min="3" style="0" width="14"/>
    <col collapsed="false" customWidth="true" hidden="false" outlineLevel="0" max="4" min="4" style="0" width="50"/>
    <col collapsed="false" customWidth="true" hidden="false" outlineLevel="0" max="5" min="5" style="0" width="70"/>
  </cols>
  <sheetData>
    <row r="1" customFormat="false" ht="17.35" hidden="false" customHeight="false" outlineLevel="0" collapsed="false">
      <c r="A1" s="13" t="s">
        <v>222</v>
      </c>
    </row>
    <row r="2" customFormat="false" ht="15" hidden="false" customHeight="false" outlineLevel="0" collapsed="false">
      <c r="A2" s="0" t="s">
        <v>223</v>
      </c>
    </row>
    <row r="3" customFormat="false" ht="15" hidden="false" customHeight="false" outlineLevel="0" collapsed="false">
      <c r="A3" s="0" t="s">
        <v>2</v>
      </c>
    </row>
    <row r="4" customFormat="false" ht="41.75" hidden="false" customHeight="false" outlineLevel="0" collapsed="false">
      <c r="A4" s="2" t="s">
        <v>224</v>
      </c>
      <c r="B4" s="2" t="s">
        <v>225</v>
      </c>
      <c r="C4" s="2" t="s">
        <v>226</v>
      </c>
      <c r="D4" s="2" t="s">
        <v>227</v>
      </c>
      <c r="E4" s="2" t="s">
        <v>228</v>
      </c>
    </row>
    <row r="5" customFormat="false" ht="28.35" hidden="false" customHeight="false" outlineLevel="0" collapsed="false">
      <c r="A5" s="7" t="s">
        <v>229</v>
      </c>
      <c r="B5" s="15" t="s">
        <v>230</v>
      </c>
      <c r="C5" s="3" t="n">
        <v>277.2</v>
      </c>
      <c r="D5" s="18" t="s">
        <v>231</v>
      </c>
      <c r="E5" s="7" t="s">
        <v>232</v>
      </c>
    </row>
    <row r="6" customFormat="false" ht="15" hidden="false" customHeight="false" outlineLevel="0" collapsed="false">
      <c r="A6" s="7" t="s">
        <v>233</v>
      </c>
      <c r="B6" s="15" t="s">
        <v>230</v>
      </c>
      <c r="C6" s="3" t="n">
        <v>77</v>
      </c>
      <c r="D6" s="18" t="s">
        <v>234</v>
      </c>
      <c r="E6" s="7" t="s">
        <v>235</v>
      </c>
    </row>
    <row r="7" customFormat="false" ht="15" hidden="false" customHeight="false" outlineLevel="0" collapsed="false">
      <c r="A7" s="7" t="s">
        <v>236</v>
      </c>
      <c r="B7" s="15" t="s">
        <v>237</v>
      </c>
      <c r="E7" s="7" t="s">
        <v>238</v>
      </c>
    </row>
    <row r="8" customFormat="false" ht="28.35" hidden="false" customHeight="false" outlineLevel="0" collapsed="false">
      <c r="A8" s="7" t="s">
        <v>239</v>
      </c>
      <c r="B8" s="15" t="s">
        <v>240</v>
      </c>
      <c r="D8" s="18" t="s">
        <v>241</v>
      </c>
      <c r="E8" s="7" t="s">
        <v>242</v>
      </c>
    </row>
    <row r="9" customFormat="false" ht="15" hidden="false" customHeight="false" outlineLevel="0" collapsed="false">
      <c r="A9" s="7" t="s">
        <v>243</v>
      </c>
      <c r="B9" s="15" t="s">
        <v>240</v>
      </c>
      <c r="C9" s="3" t="n">
        <v>75.15</v>
      </c>
      <c r="D9" s="18" t="s">
        <v>244</v>
      </c>
      <c r="E9" s="7" t="s">
        <v>245</v>
      </c>
    </row>
    <row r="10" customFormat="false" ht="15" hidden="false" customHeight="false" outlineLevel="0" collapsed="false">
      <c r="A10" s="7" t="s">
        <v>246</v>
      </c>
      <c r="B10" s="15" t="s">
        <v>240</v>
      </c>
      <c r="E10" s="7" t="s">
        <v>247</v>
      </c>
    </row>
    <row r="11" customFormat="false" ht="15" hidden="false" customHeight="false" outlineLevel="0" collapsed="false">
      <c r="A11" s="7" t="s">
        <v>248</v>
      </c>
      <c r="B11" s="15" t="s">
        <v>240</v>
      </c>
      <c r="D11" s="18" t="s">
        <v>249</v>
      </c>
      <c r="E11" s="7" t="s">
        <v>250</v>
      </c>
    </row>
    <row r="12" customFormat="false" ht="15" hidden="false" customHeight="false" outlineLevel="0" collapsed="false">
      <c r="A12" s="7" t="s">
        <v>251</v>
      </c>
      <c r="B12" s="15" t="s">
        <v>240</v>
      </c>
      <c r="C12" s="3" t="n">
        <v>133.13</v>
      </c>
      <c r="E12" s="7" t="s">
        <v>252</v>
      </c>
    </row>
    <row r="13" customFormat="false" ht="28.35" hidden="false" customHeight="false" outlineLevel="0" collapsed="false">
      <c r="A13" s="7" t="s">
        <v>253</v>
      </c>
      <c r="B13" s="15" t="s">
        <v>240</v>
      </c>
      <c r="E13" s="7" t="s">
        <v>254</v>
      </c>
    </row>
    <row r="14" customFormat="false" ht="15" hidden="false" customHeight="false" outlineLevel="0" collapsed="false">
      <c r="A14" s="7" t="s">
        <v>255</v>
      </c>
      <c r="B14" s="15" t="s">
        <v>240</v>
      </c>
      <c r="E14" s="7" t="s">
        <v>256</v>
      </c>
    </row>
    <row r="15" customFormat="false" ht="28.35" hidden="false" customHeight="false" outlineLevel="0" collapsed="false">
      <c r="A15" s="7" t="s">
        <v>257</v>
      </c>
      <c r="B15" s="15" t="s">
        <v>240</v>
      </c>
      <c r="E15" s="7" t="s">
        <v>254</v>
      </c>
    </row>
    <row r="16" customFormat="false" ht="28.35" hidden="false" customHeight="false" outlineLevel="0" collapsed="false">
      <c r="A16" s="7" t="s">
        <v>258</v>
      </c>
      <c r="B16" s="15" t="s">
        <v>240</v>
      </c>
      <c r="E16" s="7" t="s">
        <v>259</v>
      </c>
    </row>
    <row r="17" customFormat="false" ht="15" hidden="false" customHeight="false" outlineLevel="0" collapsed="false">
      <c r="A17" s="7" t="s">
        <v>260</v>
      </c>
      <c r="B17" s="15" t="s">
        <v>240</v>
      </c>
      <c r="E17" s="7"/>
    </row>
    <row r="18" customFormat="false" ht="15" hidden="false" customHeight="false" outlineLevel="0" collapsed="false">
      <c r="A18" s="7" t="s">
        <v>261</v>
      </c>
      <c r="B18" s="15" t="s">
        <v>240</v>
      </c>
      <c r="E18" s="7" t="s">
        <v>262</v>
      </c>
    </row>
  </sheetData>
  <hyperlinks>
    <hyperlink ref="D5" r:id="rId1" display="https://store.bruker.com/products/dpt10"/>
    <hyperlink ref="D6" r:id="rId2" display="https://www.nanoandmore.com/AFM-Accessories-HOPG-ZYH"/>
    <hyperlink ref="D8" r:id="rId3" display="https://jacobsschool.ucsd.edu/envision"/>
    <hyperlink ref="D9" r:id="rId4" display="https://www.penntoolco.com/grizzly-9-x-12-x-2-granite-surface-plate-no-ledge-g9649/"/>
    <hyperlink ref="D11" r:id="rId5" display="https://mae156b.eng.ucsd.edu/mae156-resources/mae-undergrad-lab-resources/lab-shops/ucsd-lab-shop-resources-outside-of-ma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4" min="3" style="0" width="10"/>
    <col collapsed="false" customWidth="true" hidden="false" outlineLevel="0" max="5" min="5" style="0" width="32"/>
    <col collapsed="false" customWidth="true" hidden="false" outlineLevel="0" max="6" min="6" style="0" width="11"/>
    <col collapsed="false" customWidth="true" hidden="false" outlineLevel="0" max="7" min="7" style="0" width="10"/>
    <col collapsed="false" customWidth="true" hidden="false" outlineLevel="0" max="8" min="8" style="0" width="11"/>
    <col collapsed="false" customWidth="true" hidden="false" outlineLevel="0" max="9" min="9" style="0" width="12"/>
    <col collapsed="false" customWidth="true" hidden="false" outlineLevel="0" max="11" min="10" style="0" width="10"/>
    <col collapsed="false" customWidth="true" hidden="false" outlineLevel="0" max="12" min="12" style="0" width="60"/>
  </cols>
  <sheetData>
    <row r="1" customFormat="false" ht="17.35" hidden="false" customHeight="false" outlineLevel="0" collapsed="false">
      <c r="A1" s="13" t="s">
        <v>263</v>
      </c>
    </row>
    <row r="2" customFormat="false" ht="15" hidden="false" customHeight="false" outlineLevel="0" collapsed="false">
      <c r="A2" s="0" t="s">
        <v>264</v>
      </c>
    </row>
    <row r="3" customFormat="false" ht="15" hidden="false" customHeight="false" outlineLevel="0" collapsed="false">
      <c r="A3" s="0" t="s">
        <v>2</v>
      </c>
    </row>
    <row r="4" customFormat="false" ht="28.35" hidden="false" customHeight="false" outlineLevel="0" collapsed="false">
      <c r="A4" s="2" t="s">
        <v>265</v>
      </c>
      <c r="B4" s="2" t="s">
        <v>266</v>
      </c>
      <c r="C4" s="2" t="s">
        <v>267</v>
      </c>
      <c r="D4" s="2" t="s">
        <v>268</v>
      </c>
      <c r="E4" s="2" t="s">
        <v>269</v>
      </c>
      <c r="F4" s="2" t="s">
        <v>270</v>
      </c>
      <c r="G4" s="2" t="s">
        <v>271</v>
      </c>
      <c r="H4" s="2" t="s">
        <v>272</v>
      </c>
      <c r="I4" s="2" t="s">
        <v>273</v>
      </c>
      <c r="J4" s="2" t="s">
        <v>274</v>
      </c>
      <c r="K4" s="2" t="s">
        <v>275</v>
      </c>
      <c r="L4" s="2" t="s">
        <v>5</v>
      </c>
    </row>
    <row r="5" customFormat="false" ht="41.75" hidden="false" customHeight="false" outlineLevel="0" collapsed="false">
      <c r="A5" s="0" t="s">
        <v>276</v>
      </c>
      <c r="B5" s="7" t="s">
        <v>277</v>
      </c>
      <c r="C5" s="15" t="s">
        <v>278</v>
      </c>
      <c r="D5" s="3" t="n">
        <v>131</v>
      </c>
      <c r="E5" s="7" t="s">
        <v>279</v>
      </c>
      <c r="F5" s="3" t="n">
        <f aca="false">INDEX('Detailed BOM'!$K$5:$K$34,MATCH("HV-01",'Detailed BOM'!$A$5:$A$34,0))+INDEX('Detailed BOM'!$K$5:$K$34,MATCH("HV-02",'Detailed BOM'!$A$5:$A$34,0))+INDEX('Detailed BOM'!$K$5:$K$34,MATCH("HV-03",'Detailed BOM'!$A$5:$A$34,0))+INDEX('Detailed BOM'!$K$5:$K$34,MATCH("HV-04",'Detailed BOM'!$A$5:$A$34,0))</f>
        <v>158.1982</v>
      </c>
      <c r="G5" s="3" t="n">
        <v>0</v>
      </c>
      <c r="H5" s="3" t="n">
        <f aca="false">D5+F5+G5</f>
        <v>289.1982</v>
      </c>
      <c r="I5" s="3" t="n">
        <f aca="false">H5-$H$5</f>
        <v>0</v>
      </c>
      <c r="J5" s="15" t="s">
        <v>280</v>
      </c>
      <c r="K5" s="15" t="s">
        <v>281</v>
      </c>
      <c r="L5" s="7" t="s">
        <v>282</v>
      </c>
    </row>
    <row r="6" customFormat="false" ht="55.2" hidden="false" customHeight="false" outlineLevel="0" collapsed="false">
      <c r="A6" s="0" t="s">
        <v>283</v>
      </c>
      <c r="B6" s="7" t="s">
        <v>284</v>
      </c>
      <c r="C6" s="15" t="s">
        <v>278</v>
      </c>
      <c r="D6" s="3" t="n">
        <v>131</v>
      </c>
      <c r="E6" s="7" t="s">
        <v>285</v>
      </c>
      <c r="F6" s="3" t="n">
        <v>892</v>
      </c>
      <c r="G6" s="3" t="n">
        <v>0</v>
      </c>
      <c r="H6" s="3" t="n">
        <f aca="false">D6+F6+G6</f>
        <v>1023</v>
      </c>
      <c r="I6" s="3" t="n">
        <f aca="false">H6-$H$5</f>
        <v>733.8018</v>
      </c>
      <c r="J6" s="15" t="s">
        <v>286</v>
      </c>
      <c r="K6" s="15" t="s">
        <v>287</v>
      </c>
      <c r="L6" s="7" t="s">
        <v>288</v>
      </c>
    </row>
    <row r="7" customFormat="false" ht="28.35" hidden="false" customHeight="false" outlineLevel="0" collapsed="false">
      <c r="A7" s="0" t="s">
        <v>289</v>
      </c>
      <c r="B7" s="7" t="s">
        <v>290</v>
      </c>
      <c r="C7" s="15" t="s">
        <v>278</v>
      </c>
      <c r="D7" s="3" t="n">
        <v>131</v>
      </c>
      <c r="E7" s="7" t="s">
        <v>291</v>
      </c>
      <c r="F7" s="3" t="n">
        <v>3172</v>
      </c>
      <c r="G7" s="3" t="n">
        <v>0</v>
      </c>
      <c r="H7" s="3" t="n">
        <f aca="false">D7+F7+G7</f>
        <v>3303</v>
      </c>
      <c r="I7" s="3" t="n">
        <f aca="false">H7-$H$5</f>
        <v>3013.8018</v>
      </c>
      <c r="J7" s="15" t="s">
        <v>292</v>
      </c>
      <c r="K7" s="15" t="s">
        <v>293</v>
      </c>
      <c r="L7" s="7" t="s">
        <v>294</v>
      </c>
    </row>
    <row r="8" customFormat="false" ht="28.35" hidden="false" customHeight="false" outlineLevel="0" collapsed="false">
      <c r="A8" s="0" t="s">
        <v>295</v>
      </c>
      <c r="B8" s="7" t="s">
        <v>296</v>
      </c>
      <c r="C8" s="15" t="s">
        <v>297</v>
      </c>
      <c r="D8" s="3" t="n">
        <v>111</v>
      </c>
      <c r="E8" s="7" t="s">
        <v>298</v>
      </c>
      <c r="F8" s="3" t="n">
        <f aca="false">INDEX('Detailed BOM'!$K$5:$K$34,MATCH("HV-01",'Detailed BOM'!$A$5:$A$34,0))+INDEX('Detailed BOM'!$K$5:$K$34,MATCH("HV-02",'Detailed BOM'!$A$5:$A$34,0))+INDEX('Detailed BOM'!$K$5:$K$34,MATCH("HV-03",'Detailed BOM'!$A$5:$A$34,0))+INDEX('Detailed BOM'!$K$5:$K$34,MATCH("HV-04",'Detailed BOM'!$A$5:$A$34,0))</f>
        <v>158.1982</v>
      </c>
      <c r="G8" s="3" t="n">
        <v>0</v>
      </c>
      <c r="H8" s="3" t="n">
        <f aca="false">D8+F8+G8</f>
        <v>269.1982</v>
      </c>
      <c r="I8" s="3" t="n">
        <f aca="false">H8-$H$5</f>
        <v>-20</v>
      </c>
      <c r="J8" s="15" t="s">
        <v>299</v>
      </c>
      <c r="K8" s="15" t="s">
        <v>300</v>
      </c>
      <c r="L8" s="7" t="s">
        <v>301</v>
      </c>
    </row>
    <row r="9" customFormat="false" ht="15" hidden="false" customHeight="false" outlineLevel="0" collapsed="false">
      <c r="A9" s="0" t="s">
        <v>302</v>
      </c>
      <c r="B9" s="7" t="s">
        <v>303</v>
      </c>
      <c r="C9" s="15" t="s">
        <v>304</v>
      </c>
      <c r="D9" s="3" t="n">
        <v>156</v>
      </c>
      <c r="E9" s="7" t="s">
        <v>298</v>
      </c>
      <c r="F9" s="3" t="n">
        <f aca="false">INDEX('Detailed BOM'!$K$5:$K$34,MATCH("HV-01",'Detailed BOM'!$A$5:$A$34,0))+INDEX('Detailed BOM'!$K$5:$K$34,MATCH("HV-02",'Detailed BOM'!$A$5:$A$34,0))+INDEX('Detailed BOM'!$K$5:$K$34,MATCH("HV-03",'Detailed BOM'!$A$5:$A$34,0))+INDEX('Detailed BOM'!$K$5:$K$34,MATCH("HV-04",'Detailed BOM'!$A$5:$A$34,0))</f>
        <v>158.1982</v>
      </c>
      <c r="G9" s="3" t="n">
        <v>0</v>
      </c>
      <c r="H9" s="3" t="n">
        <f aca="false">D9+F9+G9</f>
        <v>314.1982</v>
      </c>
      <c r="I9" s="3" t="n">
        <f aca="false">H9-$H$5</f>
        <v>25</v>
      </c>
      <c r="J9" s="15" t="s">
        <v>305</v>
      </c>
      <c r="K9" s="15" t="s">
        <v>306</v>
      </c>
      <c r="L9" s="7" t="s">
        <v>307</v>
      </c>
    </row>
    <row r="10" customFormat="false" ht="28.35" hidden="false" customHeight="false" outlineLevel="0" collapsed="false">
      <c r="A10" s="0" t="s">
        <v>308</v>
      </c>
      <c r="B10" s="7" t="s">
        <v>309</v>
      </c>
      <c r="C10" s="15" t="s">
        <v>278</v>
      </c>
      <c r="D10" s="3" t="n">
        <v>131</v>
      </c>
      <c r="E10" s="7" t="s">
        <v>298</v>
      </c>
      <c r="F10" s="3" t="n">
        <f aca="false">INDEX('Detailed BOM'!$K$5:$K$34,MATCH("HV-01",'Detailed BOM'!$A$5:$A$34,0))+INDEX('Detailed BOM'!$K$5:$K$34,MATCH("HV-02",'Detailed BOM'!$A$5:$A$34,0))+INDEX('Detailed BOM'!$K$5:$K$34,MATCH("HV-03",'Detailed BOM'!$A$5:$A$34,0))+INDEX('Detailed BOM'!$K$5:$K$34,MATCH("HV-04",'Detailed BOM'!$A$5:$A$34,0))</f>
        <v>158.1982</v>
      </c>
      <c r="G10" s="3" t="n">
        <v>100</v>
      </c>
      <c r="H10" s="3" t="n">
        <f aca="false">D10+F10+G10</f>
        <v>389.1982</v>
      </c>
      <c r="I10" s="3" t="n">
        <f aca="false">H10-$H$5</f>
        <v>100</v>
      </c>
      <c r="J10" s="15" t="s">
        <v>280</v>
      </c>
      <c r="K10" s="15" t="s">
        <v>281</v>
      </c>
      <c r="L10" s="7"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32"/>
    <col collapsed="false" customWidth="true" hidden="false" outlineLevel="0" max="3" min="3" style="0" width="44"/>
    <col collapsed="false" customWidth="true" hidden="false" outlineLevel="0" max="4" min="4" style="0" width="6"/>
    <col collapsed="false" customWidth="true" hidden="false" outlineLevel="0" max="5" min="5" style="0" width="10"/>
    <col collapsed="false" customWidth="true" hidden="false" outlineLevel="0" max="6" min="6" style="0" width="11"/>
    <col collapsed="false" customWidth="true" hidden="false" outlineLevel="0" max="7" min="7" style="0" width="20"/>
    <col collapsed="false" customWidth="true" hidden="false" outlineLevel="0" max="8" min="8" style="0" width="50"/>
  </cols>
  <sheetData>
    <row r="1" customFormat="false" ht="17.35" hidden="false" customHeight="false" outlineLevel="0" collapsed="false">
      <c r="A1" s="13" t="s">
        <v>311</v>
      </c>
    </row>
    <row r="2" customFormat="false" ht="15" hidden="false" customHeight="false" outlineLevel="0" collapsed="false">
      <c r="A2" s="0" t="s">
        <v>312</v>
      </c>
    </row>
    <row r="3" customFormat="false" ht="15" hidden="false" customHeight="false" outlineLevel="0" collapsed="false">
      <c r="A3" s="0" t="s">
        <v>2</v>
      </c>
    </row>
    <row r="4" customFormat="false" ht="15" hidden="false" customHeight="false" outlineLevel="0" collapsed="false">
      <c r="A4" s="0" t="s">
        <v>313</v>
      </c>
      <c r="B4" s="3" t="n">
        <f aca="false">INDEX('Detailed BOM'!$K$5:$K$34,MATCH("PZ-02",'Detailed BOM'!$A$5:$A$34,0))+INDEX('Detailed BOM'!$K$5:$K$34,MATCH("PZ-03",'Detailed BOM'!$A$5:$A$34,0))+INDEX('Detailed BOM'!$K$5:$K$34,MATCH("PZ-04",'Detailed BOM'!$A$5:$A$34,0))</f>
        <v>49.29</v>
      </c>
    </row>
    <row r="5" customFormat="false" ht="15" hidden="false" customHeight="false" outlineLevel="0" collapsed="false">
      <c r="A5" s="0" t="s">
        <v>314</v>
      </c>
    </row>
    <row r="6" customFormat="false" ht="15" hidden="false" customHeight="false" outlineLevel="0" collapsed="false">
      <c r="A6" s="0" t="s">
        <v>315</v>
      </c>
    </row>
    <row r="7" customFormat="false" ht="15" hidden="false" customHeight="false" outlineLevel="0" collapsed="false">
      <c r="A7" s="0" t="s">
        <v>2</v>
      </c>
    </row>
    <row r="8" customFormat="false" ht="15" hidden="false" customHeight="false" outlineLevel="0" collapsed="false">
      <c r="A8" s="11" t="s">
        <v>316</v>
      </c>
    </row>
    <row r="9" customFormat="false" ht="15" hidden="false" customHeight="false" outlineLevel="0" collapsed="false">
      <c r="A9" s="19" t="s">
        <v>224</v>
      </c>
      <c r="B9" s="19" t="s">
        <v>317</v>
      </c>
      <c r="C9" s="19" t="s">
        <v>318</v>
      </c>
      <c r="D9" s="19" t="s">
        <v>319</v>
      </c>
      <c r="E9" s="19" t="s">
        <v>320</v>
      </c>
      <c r="F9" s="19" t="s">
        <v>321</v>
      </c>
      <c r="G9" s="19" t="s">
        <v>322</v>
      </c>
      <c r="H9" s="19" t="s">
        <v>5</v>
      </c>
    </row>
    <row r="10" customFormat="false" ht="15" hidden="false" customHeight="false" outlineLevel="0" collapsed="false">
      <c r="A10" s="0" t="s">
        <v>323</v>
      </c>
      <c r="B10" s="0" t="s">
        <v>324</v>
      </c>
      <c r="C10" s="18" t="s">
        <v>325</v>
      </c>
      <c r="D10" s="0" t="n">
        <v>1</v>
      </c>
      <c r="E10" s="3" t="n">
        <v>68</v>
      </c>
      <c r="F10" s="3" t="n">
        <f aca="false">D10*E10</f>
        <v>68</v>
      </c>
      <c r="G10" s="15" t="s">
        <v>65</v>
      </c>
      <c r="H10" s="15" t="s">
        <v>326</v>
      </c>
    </row>
    <row r="11" customFormat="false" ht="15" hidden="false" customHeight="false" outlineLevel="0" collapsed="false">
      <c r="A11" s="0" t="s">
        <v>327</v>
      </c>
      <c r="B11" s="0" t="s">
        <v>328</v>
      </c>
      <c r="C11" s="18" t="s">
        <v>329</v>
      </c>
      <c r="D11" s="0" t="n">
        <v>3</v>
      </c>
      <c r="E11" s="3" t="n">
        <v>28.25</v>
      </c>
      <c r="F11" s="3" t="n">
        <f aca="false">D11*E11</f>
        <v>84.75</v>
      </c>
      <c r="G11" s="15" t="s">
        <v>65</v>
      </c>
    </row>
    <row r="12" customFormat="false" ht="15" hidden="false" customHeight="false" outlineLevel="0" collapsed="false">
      <c r="A12" s="0" t="s">
        <v>330</v>
      </c>
      <c r="B12" s="0" t="s">
        <v>331</v>
      </c>
      <c r="C12" s="18" t="s">
        <v>332</v>
      </c>
      <c r="D12" s="0" t="n">
        <v>1</v>
      </c>
      <c r="E12" s="3" t="n">
        <v>4.82</v>
      </c>
      <c r="F12" s="3" t="n">
        <f aca="false">D12*E12</f>
        <v>4.82</v>
      </c>
      <c r="G12" s="15" t="s">
        <v>65</v>
      </c>
    </row>
    <row r="13" customFormat="false" ht="15" hidden="false" customHeight="false" outlineLevel="0" collapsed="false">
      <c r="A13" s="0" t="s">
        <v>333</v>
      </c>
      <c r="F13" s="3" t="n">
        <f aca="false">SUM(F10:F12)+INDEX('Detailed BOM'!$J$5:$J$34,MATCH("HV-01",'Detailed BOM'!$A$5:$A$34,0))</f>
        <v>164.2947</v>
      </c>
    </row>
    <row r="14" customFormat="false" ht="15" hidden="false" customHeight="false" outlineLevel="0" collapsed="false">
      <c r="A14" s="0" t="s">
        <v>334</v>
      </c>
      <c r="F14" s="3" t="n">
        <f aca="false">F13-B4</f>
        <v>115.0047</v>
      </c>
    </row>
    <row r="15" customFormat="false" ht="15" hidden="false" customHeight="false" outlineLevel="0" collapsed="false">
      <c r="A15" s="0" t="s">
        <v>2</v>
      </c>
    </row>
    <row r="16" customFormat="false" ht="15" hidden="false" customHeight="false" outlineLevel="0" collapsed="false">
      <c r="A16" s="0" t="s">
        <v>335</v>
      </c>
    </row>
  </sheetData>
  <hyperlinks>
    <hyperlink ref="C10" r:id="rId1" display="https://www.piezodrive.com/product/150v-5x5x10mm-piezo-stack-actuator-sa050510/"/>
    <hyperlink ref="C11" r:id="rId2" display="https://www.edmundoptics.com/p/20mm-diameter-sapphire-ball-lens/5174/"/>
    <hyperlink ref="C12" r:id="rId3" display="https://www.onlinemetals.com/en/buy/tool-steel-drill-rod-w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40"/>
    <col collapsed="false" customWidth="true" hidden="false" outlineLevel="0" max="4" min="4" style="0" width="20"/>
    <col collapsed="false" customWidth="true" hidden="false" outlineLevel="0" max="5" min="5" style="0" width="6"/>
    <col collapsed="false" customWidth="true" hidden="false" outlineLevel="0" max="6" min="6" style="0" width="10"/>
    <col collapsed="false" customWidth="true" hidden="false" outlineLevel="0" max="7" min="7" style="0" width="11"/>
    <col collapsed="false" customWidth="true" hidden="false" outlineLevel="0" max="11" min="8" style="0" width="10"/>
    <col collapsed="false" customWidth="true" hidden="false" outlineLevel="0" max="13" min="12" style="0" width="11"/>
    <col collapsed="false" customWidth="true" hidden="false" outlineLevel="0" max="14" min="14" style="0" width="12"/>
    <col collapsed="false" customWidth="true" hidden="false" outlineLevel="0" max="15" min="15" style="0" width="50"/>
  </cols>
  <sheetData>
    <row r="1" customFormat="false" ht="17.35" hidden="false" customHeight="false" outlineLevel="0" collapsed="false">
      <c r="A1" s="13" t="s">
        <v>336</v>
      </c>
    </row>
    <row r="2" customFormat="false" ht="15" hidden="false" customHeight="false" outlineLevel="0" collapsed="false">
      <c r="A2" s="0" t="s">
        <v>337</v>
      </c>
    </row>
    <row r="3" customFormat="false" ht="15" hidden="false" customHeight="false" outlineLevel="0" collapsed="false">
      <c r="A3" s="0" t="s">
        <v>2</v>
      </c>
    </row>
    <row r="4" customFormat="false" ht="41.75" hidden="false" customHeight="false" outlineLevel="0" collapsed="false">
      <c r="A4" s="2" t="s">
        <v>338</v>
      </c>
      <c r="B4" s="2" t="s">
        <v>339</v>
      </c>
      <c r="C4" s="2" t="s">
        <v>224</v>
      </c>
      <c r="D4" s="2" t="s">
        <v>340</v>
      </c>
      <c r="E4" s="2" t="s">
        <v>319</v>
      </c>
      <c r="F4" s="2" t="s">
        <v>320</v>
      </c>
      <c r="G4" s="2" t="s">
        <v>341</v>
      </c>
      <c r="H4" s="2" t="s">
        <v>342</v>
      </c>
      <c r="I4" s="2" t="s">
        <v>343</v>
      </c>
      <c r="J4" s="2" t="s">
        <v>344</v>
      </c>
      <c r="K4" s="2" t="s">
        <v>345</v>
      </c>
      <c r="L4" s="2" t="s">
        <v>346</v>
      </c>
      <c r="M4" s="2" t="s">
        <v>347</v>
      </c>
      <c r="N4" s="2" t="s">
        <v>348</v>
      </c>
      <c r="O4" s="2" t="s">
        <v>349</v>
      </c>
    </row>
    <row r="5" customFormat="false" ht="15" hidden="false" customHeight="false" outlineLevel="0" collapsed="false">
      <c r="A5" s="0" t="s">
        <v>88</v>
      </c>
      <c r="B5" s="0" t="s">
        <v>350</v>
      </c>
      <c r="C5" s="0" t="s">
        <v>351</v>
      </c>
      <c r="D5" s="0" t="s">
        <v>88</v>
      </c>
      <c r="E5" s="0" t="n">
        <v>3</v>
      </c>
      <c r="F5" s="3" t="n">
        <v>1.68</v>
      </c>
      <c r="G5" s="3" t="n">
        <v>5.04</v>
      </c>
      <c r="H5" s="3" t="n">
        <f aca="false">-20*G5/487.05</f>
        <v>-0.206960271019403</v>
      </c>
      <c r="I5" s="3" t="n">
        <f aca="false">50.3*G5/487.05</f>
        <v>0.520505081613797</v>
      </c>
      <c r="J5" s="3" t="n">
        <f aca="false">(163.48-0)*G5/487.05</f>
        <v>1.6916932553126</v>
      </c>
      <c r="K5" s="3" t="n">
        <f aca="false">29.2*G5/487.05</f>
        <v>0.302161995688328</v>
      </c>
      <c r="L5" s="3" t="n">
        <f aca="false">G5+H5+I5+J5+K5</f>
        <v>7.34740006159532</v>
      </c>
      <c r="M5" s="3" t="n">
        <f aca="false">L5/E5</f>
        <v>2.44913335386511</v>
      </c>
      <c r="N5" s="15" t="s">
        <v>96</v>
      </c>
      <c r="O5" s="15" t="s">
        <v>352</v>
      </c>
    </row>
    <row r="6" customFormat="false" ht="15" hidden="false" customHeight="false" outlineLevel="0" collapsed="false">
      <c r="A6" s="0" t="s">
        <v>88</v>
      </c>
      <c r="B6" s="0" t="s">
        <v>350</v>
      </c>
      <c r="C6" s="0" t="s">
        <v>353</v>
      </c>
      <c r="D6" s="0" t="s">
        <v>88</v>
      </c>
      <c r="E6" s="0" t="n">
        <v>3</v>
      </c>
      <c r="F6" s="3" t="n">
        <v>0.8</v>
      </c>
      <c r="G6" s="3" t="n">
        <v>2.4</v>
      </c>
      <c r="H6" s="3" t="n">
        <f aca="false">-20*G6/487.05</f>
        <v>-0.0985525100092393</v>
      </c>
      <c r="I6" s="3" t="n">
        <f aca="false">50.3*G6/487.05</f>
        <v>0.247859562673237</v>
      </c>
      <c r="J6" s="3" t="n">
        <f aca="false">(163.48-0)*G6/487.05</f>
        <v>0.805568216815522</v>
      </c>
      <c r="K6" s="3" t="n">
        <f aca="false">29.2*G6/487.05</f>
        <v>0.143886664613489</v>
      </c>
      <c r="L6" s="3" t="n">
        <f aca="false">G6+H6+I6+J6+K6</f>
        <v>3.49876193409301</v>
      </c>
      <c r="M6" s="3" t="n">
        <f aca="false">L6/E6</f>
        <v>1.166253978031</v>
      </c>
      <c r="N6" s="15" t="s">
        <v>100</v>
      </c>
      <c r="O6" s="15" t="s">
        <v>352</v>
      </c>
    </row>
    <row r="7" customFormat="false" ht="15" hidden="false" customHeight="false" outlineLevel="0" collapsed="false">
      <c r="A7" s="0" t="s">
        <v>88</v>
      </c>
      <c r="B7" s="0" t="s">
        <v>350</v>
      </c>
      <c r="C7" s="0" t="s">
        <v>354</v>
      </c>
      <c r="D7" s="0" t="s">
        <v>88</v>
      </c>
      <c r="E7" s="0" t="n">
        <v>2</v>
      </c>
      <c r="F7" s="3" t="n">
        <v>209.64</v>
      </c>
      <c r="G7" s="3" t="n">
        <v>419.27</v>
      </c>
      <c r="H7" s="3" t="n">
        <f aca="false">-20*G7/487.05</f>
        <v>-17.2167128631557</v>
      </c>
      <c r="I7" s="3" t="n">
        <f aca="false">50.3*G7/487.05</f>
        <v>43.3000328508367</v>
      </c>
      <c r="J7" s="3" t="n">
        <f aca="false">(163.48-0)*G7/487.05</f>
        <v>140.729410943435</v>
      </c>
      <c r="K7" s="3" t="n">
        <f aca="false">29.2*G7/487.05</f>
        <v>25.1364007802074</v>
      </c>
      <c r="L7" s="3" t="n">
        <f aca="false">G7+H7+I7+J7+K7</f>
        <v>611.219131711323</v>
      </c>
      <c r="M7" s="3" t="n">
        <f aca="false">L7/E7</f>
        <v>305.609565855662</v>
      </c>
      <c r="N7" s="15" t="s">
        <v>85</v>
      </c>
      <c r="O7" s="15" t="s">
        <v>352</v>
      </c>
    </row>
    <row r="8" customFormat="false" ht="15" hidden="false" customHeight="false" outlineLevel="0" collapsed="false">
      <c r="A8" s="0" t="s">
        <v>88</v>
      </c>
      <c r="B8" s="0" t="s">
        <v>350</v>
      </c>
      <c r="C8" s="0" t="s">
        <v>355</v>
      </c>
      <c r="D8" s="0" t="s">
        <v>88</v>
      </c>
      <c r="E8" s="0" t="n">
        <v>2</v>
      </c>
      <c r="F8" s="3" t="n">
        <v>30.17</v>
      </c>
      <c r="G8" s="3" t="n">
        <v>60.34</v>
      </c>
      <c r="H8" s="3" t="n">
        <f aca="false">-20*G8/487.05</f>
        <v>-2.47777435581563</v>
      </c>
      <c r="I8" s="3" t="n">
        <f aca="false">50.3*G8/487.05</f>
        <v>6.2316025048763</v>
      </c>
      <c r="J8" s="3" t="n">
        <f aca="false">(163.48-0)*G8/487.05</f>
        <v>20.2533275844369</v>
      </c>
      <c r="K8" s="3" t="n">
        <f aca="false">29.2*G8/487.05</f>
        <v>3.61755055949081</v>
      </c>
      <c r="L8" s="3" t="n">
        <f aca="false">G8+H8+I8+J8+K8</f>
        <v>87.9647062929884</v>
      </c>
      <c r="M8" s="3" t="n">
        <f aca="false">L8/E8</f>
        <v>43.9823531464942</v>
      </c>
      <c r="N8" s="15" t="s">
        <v>92</v>
      </c>
      <c r="O8" s="15" t="s">
        <v>352</v>
      </c>
    </row>
    <row r="9" customFormat="false" ht="15" hidden="false" customHeight="false" outlineLevel="0" collapsed="false">
      <c r="A9" s="0" t="s">
        <v>81</v>
      </c>
      <c r="B9" s="0" t="s">
        <v>356</v>
      </c>
      <c r="C9" s="0" t="s">
        <v>357</v>
      </c>
      <c r="D9" s="0" t="s">
        <v>80</v>
      </c>
      <c r="E9" s="0" t="n">
        <v>3</v>
      </c>
      <c r="F9" s="3" t="n">
        <v>8.78</v>
      </c>
      <c r="G9" s="3" t="n">
        <v>26.34</v>
      </c>
      <c r="H9" s="3" t="n">
        <f aca="false">0*G9/26.34</f>
        <v>0</v>
      </c>
      <c r="I9" s="3" t="n">
        <f aca="false">15.26*G9/26.34</f>
        <v>15.26</v>
      </c>
      <c r="J9" s="3" t="n">
        <f aca="false">(0-0)*G9/26.34</f>
        <v>0</v>
      </c>
      <c r="K9" s="3" t="n">
        <f aca="false">1.65*G9/26.34</f>
        <v>1.65</v>
      </c>
      <c r="L9" s="3" t="n">
        <f aca="false">G9+H9+I9+J9+K9</f>
        <v>43.25</v>
      </c>
      <c r="M9" s="3" t="n">
        <f aca="false">L9/E9</f>
        <v>14.4166666666667</v>
      </c>
      <c r="N9" s="15" t="s">
        <v>358</v>
      </c>
      <c r="O9" s="15" t="s">
        <v>352</v>
      </c>
    </row>
    <row r="10" customFormat="false" ht="15" hidden="false" customHeight="false" outlineLevel="0" collapsed="false">
      <c r="A10" s="0" t="s">
        <v>111</v>
      </c>
      <c r="B10" s="0" t="s">
        <v>359</v>
      </c>
      <c r="C10" s="0" t="s">
        <v>360</v>
      </c>
      <c r="D10" s="0" t="s">
        <v>361</v>
      </c>
      <c r="E10" s="0" t="n">
        <v>2</v>
      </c>
      <c r="F10" s="3" t="n">
        <v>16.35</v>
      </c>
      <c r="G10" s="3" t="n">
        <v>32.7</v>
      </c>
      <c r="H10" s="3" t="n">
        <f aca="false">0*G10/35.74</f>
        <v>0</v>
      </c>
      <c r="I10" s="3" t="n">
        <f aca="false">8.49*G10/35.74</f>
        <v>7.76785114717404</v>
      </c>
      <c r="J10" s="3" t="n">
        <v>2.62</v>
      </c>
      <c r="K10" s="3" t="n">
        <f aca="false">2.45*G10/35.74</f>
        <v>2.24160604364857</v>
      </c>
      <c r="L10" s="3" t="n">
        <f aca="false">G10+H10+I10+J10+K10</f>
        <v>45.3294571908226</v>
      </c>
      <c r="M10" s="3" t="n">
        <f aca="false">L10/E10</f>
        <v>22.6647285954113</v>
      </c>
      <c r="N10" s="15" t="s">
        <v>108</v>
      </c>
      <c r="O10" s="15" t="s">
        <v>352</v>
      </c>
    </row>
    <row r="11" customFormat="false" ht="15" hidden="false" customHeight="false" outlineLevel="0" collapsed="false">
      <c r="A11" s="0" t="s">
        <v>111</v>
      </c>
      <c r="B11" s="0" t="s">
        <v>359</v>
      </c>
      <c r="C11" s="0" t="s">
        <v>362</v>
      </c>
      <c r="D11" s="0" t="s">
        <v>363</v>
      </c>
      <c r="E11" s="0" t="n">
        <v>4</v>
      </c>
      <c r="F11" s="3" t="n">
        <v>0.76</v>
      </c>
      <c r="G11" s="3" t="n">
        <v>3.04</v>
      </c>
      <c r="H11" s="3" t="n">
        <f aca="false">0*G11/35.74</f>
        <v>0</v>
      </c>
      <c r="I11" s="3" t="n">
        <f aca="false">8.49*G11/35.74</f>
        <v>0.722148852825965</v>
      </c>
      <c r="J11" s="3" t="n">
        <v>0.85</v>
      </c>
      <c r="K11" s="3" t="n">
        <f aca="false">2.45*G11/35.74</f>
        <v>0.208393956351427</v>
      </c>
      <c r="L11" s="3" t="n">
        <f aca="false">G11+H11+I11+J11+K11</f>
        <v>4.82054280917739</v>
      </c>
      <c r="M11" s="3" t="n">
        <f aca="false">L11/E11</f>
        <v>1.20513570229435</v>
      </c>
      <c r="N11" s="15" t="s">
        <v>364</v>
      </c>
      <c r="O11" s="15" t="s">
        <v>352</v>
      </c>
    </row>
    <row r="12" customFormat="false" ht="15" hidden="false" customHeight="false" outlineLevel="0" collapsed="false">
      <c r="A12" s="0" t="s">
        <v>111</v>
      </c>
      <c r="B12" s="0" t="s">
        <v>365</v>
      </c>
      <c r="C12" s="0" t="s">
        <v>366</v>
      </c>
      <c r="D12" s="0" t="s">
        <v>367</v>
      </c>
      <c r="E12" s="0" t="n">
        <v>2</v>
      </c>
      <c r="F12" s="3" t="n">
        <v>2.81</v>
      </c>
      <c r="G12" s="3" t="n">
        <v>5.62</v>
      </c>
      <c r="H12" s="3" t="n">
        <f aca="false">0*G12/5.62</f>
        <v>0</v>
      </c>
      <c r="I12" s="3" t="n">
        <f aca="false">8.49*G12/5.62</f>
        <v>8.49</v>
      </c>
      <c r="J12" s="3" t="n">
        <v>0.45</v>
      </c>
      <c r="K12" s="3" t="n">
        <f aca="false">0.38*G12/5.62</f>
        <v>0.38</v>
      </c>
      <c r="L12" s="3" t="n">
        <f aca="false">G12+H12+I12+J12+K12</f>
        <v>14.94</v>
      </c>
      <c r="M12" s="3" t="n">
        <f aca="false">L12/E12</f>
        <v>7.47</v>
      </c>
      <c r="N12" s="15" t="s">
        <v>368</v>
      </c>
      <c r="O12" s="15" t="s">
        <v>352</v>
      </c>
    </row>
    <row r="13" customFormat="false" ht="15" hidden="false" customHeight="false" outlineLevel="0" collapsed="false">
      <c r="A13" s="0" t="s">
        <v>111</v>
      </c>
      <c r="B13" s="0" t="s">
        <v>369</v>
      </c>
      <c r="C13" s="0" t="s">
        <v>122</v>
      </c>
      <c r="D13" s="0" t="s">
        <v>367</v>
      </c>
      <c r="E13" s="0" t="n">
        <v>2</v>
      </c>
      <c r="F13" s="3" t="n">
        <v>2.09</v>
      </c>
      <c r="G13" s="3" t="n">
        <v>4.18</v>
      </c>
      <c r="H13" s="3" t="n">
        <f aca="false">0*G13/4.18</f>
        <v>0</v>
      </c>
      <c r="I13" s="3" t="n">
        <f aca="false">8.49*G13/4.18</f>
        <v>8.49</v>
      </c>
      <c r="J13" s="3" t="n">
        <v>0.75</v>
      </c>
      <c r="K13" s="3" t="n">
        <f aca="false">0.31*G13/4.18</f>
        <v>0.31</v>
      </c>
      <c r="L13" s="3" t="n">
        <f aca="false">G13+H13+I13+J13+K13</f>
        <v>13.73</v>
      </c>
      <c r="M13" s="3" t="n">
        <f aca="false">L13/E13</f>
        <v>6.865</v>
      </c>
      <c r="N13" s="15" t="s">
        <v>120</v>
      </c>
      <c r="O13" s="15" t="s">
        <v>352</v>
      </c>
    </row>
    <row r="14" customFormat="false" ht="15" hidden="false" customHeight="false" outlineLevel="0" collapsed="false">
      <c r="A14" s="0" t="s">
        <v>370</v>
      </c>
      <c r="G14" s="3" t="n">
        <f aca="false">SUM(G5:G13)</f>
        <v>558.93</v>
      </c>
      <c r="L14" s="3" t="n">
        <f aca="false">SUM(L5:L13)</f>
        <v>832.1</v>
      </c>
    </row>
    <row r="15" customFormat="false" ht="15" hidden="false" customHeight="false" outlineLevel="0" collapsed="false">
      <c r="A15" s="0" t="s">
        <v>371</v>
      </c>
      <c r="L15" s="3" t="n">
        <f aca="false">L14-832.1</f>
        <v>0</v>
      </c>
      <c r="M15" s="15" t="s">
        <v>221</v>
      </c>
    </row>
    <row r="16" customFormat="false" ht="15" hidden="false" customHeight="false" outlineLevel="0" collapsed="false">
      <c r="A16" s="0" t="s">
        <v>2</v>
      </c>
    </row>
    <row r="17" customFormat="false" ht="15" hidden="false" customHeight="false" outlineLevel="0" collapsed="false">
      <c r="A17" s="11" t="s">
        <v>372</v>
      </c>
    </row>
    <row r="18" customFormat="false" ht="15" hidden="false" customHeight="false" outlineLevel="0" collapsed="false">
      <c r="A18" s="0" t="s">
        <v>373</v>
      </c>
      <c r="G18" s="3" t="n">
        <v>543.83</v>
      </c>
    </row>
    <row r="19" customFormat="false" ht="15" hidden="false" customHeight="false" outlineLevel="0" collapsed="false">
      <c r="A19" s="11" t="s">
        <v>374</v>
      </c>
      <c r="G19" s="3" t="n">
        <f aca="false">L14+G18</f>
        <v>1375.93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4"/>
    <col collapsed="false" customWidth="true" hidden="false" outlineLevel="0" max="3" min="3" style="0" width="14"/>
    <col collapsed="false" customWidth="true" hidden="false" outlineLevel="0" max="4" min="4" style="0" width="52"/>
    <col collapsed="false" customWidth="true" hidden="false" outlineLevel="0" max="5" min="5" style="0" width="34"/>
  </cols>
  <sheetData>
    <row r="1" customFormat="false" ht="17.35" hidden="false" customHeight="false" outlineLevel="0" collapsed="false">
      <c r="A1" s="13" t="s">
        <v>375</v>
      </c>
    </row>
    <row r="2" customFormat="false" ht="15" hidden="false" customHeight="false" outlineLevel="0" collapsed="false">
      <c r="A2" s="0" t="s">
        <v>2</v>
      </c>
    </row>
    <row r="3" customFormat="false" ht="15" hidden="false" customHeight="false" outlineLevel="0" collapsed="false">
      <c r="A3" s="2" t="s">
        <v>376</v>
      </c>
      <c r="B3" s="2" t="s">
        <v>377</v>
      </c>
      <c r="C3" s="2" t="s">
        <v>378</v>
      </c>
      <c r="D3" s="2" t="s">
        <v>379</v>
      </c>
      <c r="E3" s="2" t="s">
        <v>322</v>
      </c>
    </row>
    <row r="4" customFormat="false" ht="15" hidden="false" customHeight="false" outlineLevel="0" collapsed="false">
      <c r="A4" s="7" t="s">
        <v>380</v>
      </c>
      <c r="B4" s="7" t="s">
        <v>381</v>
      </c>
      <c r="C4" s="7" t="s">
        <v>382</v>
      </c>
      <c r="D4" s="7" t="s">
        <v>383</v>
      </c>
      <c r="E4" s="7" t="s">
        <v>384</v>
      </c>
    </row>
    <row r="5" customFormat="false" ht="15" hidden="false" customHeight="false" outlineLevel="0" collapsed="false">
      <c r="A5" s="7" t="s">
        <v>385</v>
      </c>
      <c r="B5" s="7" t="s">
        <v>386</v>
      </c>
      <c r="C5" s="7" t="s">
        <v>382</v>
      </c>
      <c r="D5" s="7" t="s">
        <v>387</v>
      </c>
      <c r="E5" s="7" t="s">
        <v>388</v>
      </c>
    </row>
    <row r="6" customFormat="false" ht="15" hidden="false" customHeight="false" outlineLevel="0" collapsed="false">
      <c r="A6" s="7" t="s">
        <v>389</v>
      </c>
      <c r="B6" s="7" t="s">
        <v>390</v>
      </c>
      <c r="C6" s="7" t="s">
        <v>382</v>
      </c>
      <c r="D6" s="7" t="s">
        <v>391</v>
      </c>
      <c r="E6" s="7" t="s">
        <v>392</v>
      </c>
    </row>
    <row r="7" customFormat="false" ht="28.35" hidden="false" customHeight="false" outlineLevel="0" collapsed="false">
      <c r="A7" s="7" t="s">
        <v>393</v>
      </c>
      <c r="B7" s="7" t="s">
        <v>394</v>
      </c>
      <c r="C7" s="7" t="s">
        <v>382</v>
      </c>
      <c r="D7" s="7" t="s">
        <v>395</v>
      </c>
      <c r="E7" s="7" t="s">
        <v>392</v>
      </c>
    </row>
    <row r="8" customFormat="false" ht="15" hidden="false" customHeight="false" outlineLevel="0" collapsed="false">
      <c r="A8" s="7" t="s">
        <v>396</v>
      </c>
      <c r="B8" s="7" t="s">
        <v>397</v>
      </c>
      <c r="C8" s="7" t="s">
        <v>398</v>
      </c>
      <c r="D8" s="7" t="s">
        <v>399</v>
      </c>
      <c r="E8" s="7" t="s">
        <v>392</v>
      </c>
    </row>
    <row r="9" customFormat="false" ht="15" hidden="false" customHeight="false" outlineLevel="0" collapsed="false">
      <c r="A9" s="7" t="s">
        <v>400</v>
      </c>
      <c r="B9" s="7" t="s">
        <v>401</v>
      </c>
      <c r="C9" s="7" t="s">
        <v>382</v>
      </c>
      <c r="D9" s="7" t="s">
        <v>402</v>
      </c>
      <c r="E9" s="7" t="s">
        <v>403</v>
      </c>
    </row>
    <row r="10" customFormat="false" ht="28.35" hidden="false" customHeight="false" outlineLevel="0" collapsed="false">
      <c r="A10" s="7" t="s">
        <v>404</v>
      </c>
      <c r="B10" s="7" t="s">
        <v>405</v>
      </c>
      <c r="C10" s="7" t="s">
        <v>382</v>
      </c>
      <c r="D10" s="7" t="s">
        <v>406</v>
      </c>
      <c r="E10" s="7" t="s">
        <v>392</v>
      </c>
    </row>
    <row r="11" customFormat="false" ht="28.35" hidden="false" customHeight="false" outlineLevel="0" collapsed="false">
      <c r="A11" s="7" t="s">
        <v>407</v>
      </c>
      <c r="B11" s="7" t="s">
        <v>408</v>
      </c>
      <c r="C11" s="7" t="s">
        <v>382</v>
      </c>
      <c r="D11" s="7" t="s">
        <v>409</v>
      </c>
      <c r="E11" s="7" t="s">
        <v>410</v>
      </c>
    </row>
    <row r="12" customFormat="false" ht="15" hidden="false" customHeight="false" outlineLevel="0" collapsed="false">
      <c r="A12" s="7" t="s">
        <v>411</v>
      </c>
      <c r="B12" s="7" t="s">
        <v>412</v>
      </c>
      <c r="C12" s="7" t="s">
        <v>413</v>
      </c>
      <c r="D12" s="7" t="s">
        <v>414</v>
      </c>
      <c r="E12" s="7" t="s">
        <v>392</v>
      </c>
    </row>
    <row r="13" customFormat="false" ht="15" hidden="false" customHeight="false" outlineLevel="0" collapsed="false">
      <c r="A13" s="7" t="s">
        <v>415</v>
      </c>
      <c r="B13" s="7" t="s">
        <v>416</v>
      </c>
      <c r="C13" s="7" t="s">
        <v>413</v>
      </c>
      <c r="D13" s="7" t="s">
        <v>417</v>
      </c>
      <c r="E13" s="7" t="s">
        <v>418</v>
      </c>
    </row>
    <row r="14" customFormat="false" ht="15" hidden="false" customHeight="false" outlineLevel="0" collapsed="false">
      <c r="A14" s="7" t="s">
        <v>419</v>
      </c>
      <c r="B14" s="7" t="s">
        <v>420</v>
      </c>
      <c r="C14" s="7" t="s">
        <v>413</v>
      </c>
      <c r="D14" s="7" t="s">
        <v>421</v>
      </c>
      <c r="E14" s="7" t="s">
        <v>392</v>
      </c>
    </row>
    <row r="15" customFormat="false" ht="28.35" hidden="false" customHeight="false" outlineLevel="0" collapsed="false">
      <c r="A15" s="7" t="s">
        <v>422</v>
      </c>
      <c r="B15" s="7" t="s">
        <v>423</v>
      </c>
      <c r="C15" s="7" t="s">
        <v>424</v>
      </c>
      <c r="D15" s="7" t="s">
        <v>425</v>
      </c>
      <c r="E15" s="7" t="s">
        <v>392</v>
      </c>
    </row>
    <row r="16" customFormat="false" ht="15" hidden="false" customHeight="false" outlineLevel="0" collapsed="false">
      <c r="A16" s="7" t="s">
        <v>426</v>
      </c>
      <c r="B16" s="7" t="s">
        <v>427</v>
      </c>
      <c r="C16" s="7" t="s">
        <v>424</v>
      </c>
      <c r="D16" s="7" t="s">
        <v>428</v>
      </c>
      <c r="E16" s="7" t="s">
        <v>392</v>
      </c>
    </row>
    <row r="17" customFormat="false" ht="15" hidden="false" customHeight="false" outlineLevel="0" collapsed="false">
      <c r="A17" s="7" t="s">
        <v>429</v>
      </c>
      <c r="B17" s="7" t="s">
        <v>430</v>
      </c>
      <c r="C17" s="7" t="s">
        <v>424</v>
      </c>
      <c r="D17" s="7" t="s">
        <v>431</v>
      </c>
      <c r="E17" s="7" t="s">
        <v>432</v>
      </c>
    </row>
    <row r="18" customFormat="false" ht="15" hidden="false" customHeight="false" outlineLevel="0" collapsed="false">
      <c r="A18" s="7" t="s">
        <v>433</v>
      </c>
      <c r="B18" s="7" t="s">
        <v>434</v>
      </c>
      <c r="C18" s="7" t="s">
        <v>382</v>
      </c>
      <c r="D18" s="7" t="s">
        <v>435</v>
      </c>
      <c r="E18" s="7" t="s">
        <v>392</v>
      </c>
    </row>
    <row r="19" customFormat="false" ht="15" hidden="false" customHeight="false" outlineLevel="0" collapsed="false">
      <c r="A19" s="7" t="s">
        <v>436</v>
      </c>
      <c r="B19" s="7" t="s">
        <v>437</v>
      </c>
      <c r="C19" s="7" t="s">
        <v>438</v>
      </c>
      <c r="D19" s="7" t="s">
        <v>439</v>
      </c>
      <c r="E19" s="7"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44"/>
    <col collapsed="false" customWidth="true" hidden="false" outlineLevel="0" max="4" min="4" style="0" width="34"/>
    <col collapsed="false" customWidth="true" hidden="false" outlineLevel="0" max="6" min="5" style="0" width="40"/>
  </cols>
  <sheetData>
    <row r="1" customFormat="false" ht="17.35" hidden="false" customHeight="false" outlineLevel="0" collapsed="false">
      <c r="A1" s="13" t="s">
        <v>440</v>
      </c>
    </row>
    <row r="2" customFormat="false" ht="15" hidden="false" customHeight="false" outlineLevel="0" collapsed="false">
      <c r="A2" s="0" t="s">
        <v>441</v>
      </c>
    </row>
    <row r="3" customFormat="false" ht="15" hidden="false" customHeight="false" outlineLevel="0" collapsed="false">
      <c r="A3" s="0" t="s">
        <v>2</v>
      </c>
    </row>
    <row r="4" customFormat="false" ht="15" hidden="false" customHeight="false" outlineLevel="0" collapsed="false">
      <c r="A4" s="19" t="s">
        <v>442</v>
      </c>
      <c r="B4" s="19" t="s">
        <v>443</v>
      </c>
      <c r="C4" s="19" t="s">
        <v>444</v>
      </c>
      <c r="D4" s="19" t="s">
        <v>378</v>
      </c>
    </row>
    <row r="5" customFormat="false" ht="15" hidden="false" customHeight="false" outlineLevel="0" collapsed="false">
      <c r="A5" s="0" t="s">
        <v>445</v>
      </c>
      <c r="B5" s="20" t="n">
        <v>0.0775</v>
      </c>
      <c r="C5" s="15" t="s">
        <v>446</v>
      </c>
      <c r="D5" s="18" t="s">
        <v>447</v>
      </c>
    </row>
    <row r="6" customFormat="false" ht="15" hidden="false" customHeight="false" outlineLevel="0" collapsed="false">
      <c r="A6" s="0" t="s">
        <v>448</v>
      </c>
      <c r="B6" s="17" t="n">
        <v>0.1</v>
      </c>
      <c r="C6" s="15" t="s">
        <v>449</v>
      </c>
    </row>
    <row r="7" customFormat="false" ht="15" hidden="false" customHeight="false" outlineLevel="0" collapsed="false">
      <c r="A7" s="0" t="s">
        <v>450</v>
      </c>
      <c r="B7" s="3" t="n">
        <v>65</v>
      </c>
      <c r="C7" s="15" t="s">
        <v>451</v>
      </c>
      <c r="D7" s="18" t="s">
        <v>452</v>
      </c>
    </row>
    <row r="8" customFormat="false" ht="15" hidden="false" customHeight="false" outlineLevel="0" collapsed="false">
      <c r="A8" s="0" t="s">
        <v>453</v>
      </c>
      <c r="B8" s="3" t="n">
        <v>105</v>
      </c>
      <c r="C8" s="15" t="s">
        <v>454</v>
      </c>
      <c r="D8" s="18" t="s">
        <v>455</v>
      </c>
    </row>
    <row r="9" customFormat="false" ht="15" hidden="false" customHeight="false" outlineLevel="0" collapsed="false">
      <c r="A9" s="0" t="s">
        <v>456</v>
      </c>
      <c r="B9" s="3" t="n">
        <v>2000</v>
      </c>
      <c r="C9" s="15" t="s">
        <v>457</v>
      </c>
    </row>
    <row r="10" customFormat="false" ht="15" hidden="false" customHeight="false" outlineLevel="0" collapsed="false">
      <c r="A10" s="0" t="s">
        <v>2</v>
      </c>
    </row>
    <row r="11" customFormat="false" ht="15" hidden="false" customHeight="false" outlineLevel="0" collapsed="false">
      <c r="A11" s="21" t="s">
        <v>458</v>
      </c>
    </row>
    <row r="12" customFormat="false" ht="28.35" hidden="false" customHeight="false" outlineLevel="0" collapsed="false">
      <c r="B12" s="7" t="s">
        <v>459</v>
      </c>
    </row>
    <row r="13" customFormat="false" ht="41.75" hidden="false" customHeight="false" outlineLevel="0" collapsed="false">
      <c r="B13" s="7" t="s">
        <v>460</v>
      </c>
    </row>
    <row r="14" customFormat="false" ht="68.65" hidden="false" customHeight="false" outlineLevel="0" collapsed="false">
      <c r="B14" s="7" t="s">
        <v>461</v>
      </c>
    </row>
    <row r="15" customFormat="false" ht="95.5" hidden="false" customHeight="false" outlineLevel="0" collapsed="false">
      <c r="B15" s="7" t="s">
        <v>462</v>
      </c>
    </row>
    <row r="16" customFormat="false" ht="15" hidden="false" customHeight="false" outlineLevel="0" collapsed="false">
      <c r="A16" s="0" t="s">
        <v>2</v>
      </c>
    </row>
    <row r="17" customFormat="false" ht="15" hidden="false" customHeight="false" outlineLevel="0" collapsed="false">
      <c r="A17" s="21" t="s">
        <v>463</v>
      </c>
    </row>
    <row r="18" customFormat="false" ht="15" hidden="false" customHeight="false" outlineLevel="0" collapsed="false">
      <c r="A18" s="19" t="s">
        <v>376</v>
      </c>
      <c r="B18" s="19" t="s">
        <v>464</v>
      </c>
      <c r="C18" s="19" t="s">
        <v>465</v>
      </c>
      <c r="D18" s="19" t="s">
        <v>466</v>
      </c>
      <c r="E18" s="19" t="s">
        <v>467</v>
      </c>
      <c r="F18" s="19" t="s">
        <v>468</v>
      </c>
    </row>
    <row r="19" customFormat="false" ht="28.35" hidden="false" customHeight="false" outlineLevel="0" collapsed="false">
      <c r="A19" s="7" t="s">
        <v>469</v>
      </c>
      <c r="B19" s="7" t="s">
        <v>470</v>
      </c>
      <c r="C19" s="7" t="s">
        <v>471</v>
      </c>
      <c r="D19" s="7" t="s">
        <v>472</v>
      </c>
      <c r="E19" s="7" t="s">
        <v>473</v>
      </c>
      <c r="F19" s="7" t="s">
        <v>474</v>
      </c>
    </row>
    <row r="20" customFormat="false" ht="28.35" hidden="false" customHeight="false" outlineLevel="0" collapsed="false">
      <c r="A20" s="7" t="s">
        <v>475</v>
      </c>
      <c r="B20" s="7" t="s">
        <v>476</v>
      </c>
      <c r="C20" s="7" t="s">
        <v>477</v>
      </c>
      <c r="D20" s="7" t="s">
        <v>478</v>
      </c>
      <c r="E20" s="7" t="s">
        <v>479</v>
      </c>
      <c r="F20" s="7" t="s">
        <v>480</v>
      </c>
    </row>
    <row r="21" customFormat="false" ht="28.35" hidden="false" customHeight="false" outlineLevel="0" collapsed="false">
      <c r="A21" s="7" t="s">
        <v>481</v>
      </c>
      <c r="B21" s="7" t="s">
        <v>482</v>
      </c>
      <c r="C21" s="7" t="s">
        <v>483</v>
      </c>
      <c r="D21" s="7" t="s">
        <v>484</v>
      </c>
      <c r="E21" s="7" t="s">
        <v>485</v>
      </c>
      <c r="F21" s="7" t="s">
        <v>486</v>
      </c>
    </row>
    <row r="22" customFormat="false" ht="28.35" hidden="false" customHeight="false" outlineLevel="0" collapsed="false">
      <c r="A22" s="7" t="s">
        <v>487</v>
      </c>
      <c r="B22" s="7" t="s">
        <v>488</v>
      </c>
      <c r="C22" s="7" t="s">
        <v>489</v>
      </c>
      <c r="D22" s="7" t="s">
        <v>490</v>
      </c>
      <c r="E22" s="7" t="s">
        <v>491</v>
      </c>
      <c r="F22" s="7" t="s">
        <v>492</v>
      </c>
    </row>
    <row r="23" customFormat="false" ht="15" hidden="false" customHeight="false" outlineLevel="0" collapsed="false">
      <c r="A23" s="7" t="s">
        <v>493</v>
      </c>
      <c r="B23" s="7" t="s">
        <v>494</v>
      </c>
      <c r="C23" s="7" t="s">
        <v>495</v>
      </c>
      <c r="D23" s="7" t="s">
        <v>496</v>
      </c>
      <c r="E23" s="7" t="s">
        <v>497</v>
      </c>
      <c r="F23" s="7" t="s">
        <v>498</v>
      </c>
    </row>
    <row r="24" customFormat="false" ht="28.35" hidden="false" customHeight="false" outlineLevel="0" collapsed="false">
      <c r="A24" s="7" t="s">
        <v>499</v>
      </c>
      <c r="B24" s="7" t="s">
        <v>500</v>
      </c>
      <c r="C24" s="7" t="s">
        <v>501</v>
      </c>
      <c r="D24" s="7" t="s">
        <v>502</v>
      </c>
      <c r="E24" s="7" t="s">
        <v>503</v>
      </c>
      <c r="F24" s="7" t="s">
        <v>504</v>
      </c>
    </row>
    <row r="25" customFormat="false" ht="15" hidden="false" customHeight="false" outlineLevel="0" collapsed="false">
      <c r="A25" s="7" t="s">
        <v>505</v>
      </c>
      <c r="B25" s="7" t="s">
        <v>506</v>
      </c>
      <c r="C25" s="7" t="s">
        <v>507</v>
      </c>
      <c r="D25" s="7" t="s">
        <v>508</v>
      </c>
      <c r="E25" s="7" t="s">
        <v>509</v>
      </c>
      <c r="F25" s="7" t="s">
        <v>510</v>
      </c>
    </row>
    <row r="26" customFormat="false" ht="15" hidden="false" customHeight="false" outlineLevel="0" collapsed="false">
      <c r="A26" s="7" t="s">
        <v>511</v>
      </c>
      <c r="B26" s="7" t="s">
        <v>512</v>
      </c>
      <c r="C26" s="7" t="s">
        <v>513</v>
      </c>
      <c r="D26" s="7" t="s">
        <v>514</v>
      </c>
      <c r="E26" s="7" t="s">
        <v>515</v>
      </c>
      <c r="F26" s="7" t="s">
        <v>516</v>
      </c>
    </row>
  </sheetData>
  <hyperlinks>
    <hyperlink ref="D5" r:id="rId1" display="https://trykintsugi.com/sales-tax-guides/usa/california/san-diego-county.md"/>
    <hyperlink ref="D7" r:id="rId2" display="https://www.piezodrive.com/?p=991"/>
    <hyperlink ref="D8" r:id="rId3" display="https://mpl.ucsd.edu/machine-shop-inf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10"/>
  </cols>
  <sheetData>
    <row r="1" customFormat="false" ht="17.35" hidden="false" customHeight="false" outlineLevel="0" collapsed="false">
      <c r="A1" s="13" t="s">
        <v>517</v>
      </c>
    </row>
    <row r="2" customFormat="false" ht="15" hidden="false" customHeight="false" outlineLevel="0" collapsed="false">
      <c r="A2" s="0" t="s">
        <v>2</v>
      </c>
    </row>
    <row r="3" customFormat="false" ht="15" hidden="false" customHeight="false" outlineLevel="0" collapsed="false">
      <c r="A3" s="11" t="s">
        <v>65</v>
      </c>
      <c r="B3" s="15" t="s">
        <v>518</v>
      </c>
    </row>
    <row r="4" customFormat="false" ht="15" hidden="false" customHeight="false" outlineLevel="0" collapsed="false">
      <c r="A4" s="11" t="s">
        <v>118</v>
      </c>
      <c r="B4" s="15" t="s">
        <v>519</v>
      </c>
    </row>
    <row r="5" customFormat="false" ht="15" hidden="false" customHeight="false" outlineLevel="0" collapsed="false">
      <c r="A5" s="11" t="s">
        <v>83</v>
      </c>
      <c r="B5" s="15" t="s">
        <v>520</v>
      </c>
    </row>
    <row r="6" customFormat="false" ht="15" hidden="false" customHeight="false" outlineLevel="0" collapsed="false">
      <c r="A6" s="11" t="s">
        <v>106</v>
      </c>
      <c r="B6" s="15" t="s">
        <v>521</v>
      </c>
    </row>
    <row r="7" customFormat="false" ht="15" hidden="false" customHeight="false" outlineLevel="0" collapsed="false">
      <c r="A7" s="0" t="s">
        <v>2</v>
      </c>
    </row>
    <row r="8" customFormat="false" ht="15" hidden="false" customHeight="false" outlineLevel="0" collapsed="false">
      <c r="A8" s="2" t="s">
        <v>522</v>
      </c>
      <c r="B8" s="2" t="s">
        <v>318</v>
      </c>
    </row>
    <row r="9" customFormat="false" ht="15" hidden="false" customHeight="false" outlineLevel="0" collapsed="false">
      <c r="A9" s="0" t="s">
        <v>523</v>
      </c>
      <c r="B9" s="18" t="s">
        <v>63</v>
      </c>
    </row>
    <row r="10" customFormat="false" ht="15" hidden="false" customHeight="false" outlineLevel="0" collapsed="false">
      <c r="A10" s="0" t="s">
        <v>524</v>
      </c>
      <c r="B10" s="18" t="s">
        <v>71</v>
      </c>
    </row>
    <row r="11" customFormat="false" ht="15" hidden="false" customHeight="false" outlineLevel="0" collapsed="false">
      <c r="A11" s="0" t="s">
        <v>525</v>
      </c>
      <c r="B11" s="18" t="s">
        <v>76</v>
      </c>
    </row>
    <row r="12" customFormat="false" ht="15" hidden="false" customHeight="false" outlineLevel="0" collapsed="false">
      <c r="A12" s="0" t="s">
        <v>526</v>
      </c>
      <c r="B12" s="18" t="s">
        <v>82</v>
      </c>
    </row>
    <row r="13" customFormat="false" ht="15" hidden="false" customHeight="false" outlineLevel="0" collapsed="false">
      <c r="A13" s="0" t="s">
        <v>527</v>
      </c>
      <c r="B13" s="18" t="s">
        <v>89</v>
      </c>
    </row>
    <row r="14" customFormat="false" ht="15" hidden="false" customHeight="false" outlineLevel="0" collapsed="false">
      <c r="A14" s="0" t="s">
        <v>528</v>
      </c>
      <c r="B14" s="18" t="s">
        <v>89</v>
      </c>
    </row>
    <row r="15" customFormat="false" ht="15" hidden="false" customHeight="false" outlineLevel="0" collapsed="false">
      <c r="A15" s="0" t="s">
        <v>529</v>
      </c>
      <c r="B15" s="18" t="s">
        <v>89</v>
      </c>
    </row>
    <row r="16" customFormat="false" ht="15" hidden="false" customHeight="false" outlineLevel="0" collapsed="false">
      <c r="A16" s="0" t="s">
        <v>530</v>
      </c>
      <c r="B16" s="18" t="s">
        <v>89</v>
      </c>
    </row>
    <row r="17" customFormat="false" ht="15" hidden="false" customHeight="false" outlineLevel="0" collapsed="false">
      <c r="A17" s="0" t="s">
        <v>531</v>
      </c>
      <c r="B17" s="18" t="s">
        <v>89</v>
      </c>
    </row>
    <row r="18" customFormat="false" ht="15" hidden="false" customHeight="false" outlineLevel="0" collapsed="false">
      <c r="A18" s="0" t="s">
        <v>532</v>
      </c>
      <c r="B18" s="18" t="s">
        <v>112</v>
      </c>
    </row>
    <row r="19" customFormat="false" ht="15" hidden="false" customHeight="false" outlineLevel="0" collapsed="false">
      <c r="A19" s="0" t="s">
        <v>533</v>
      </c>
      <c r="B19" s="18" t="s">
        <v>117</v>
      </c>
    </row>
    <row r="20" customFormat="false" ht="15" hidden="false" customHeight="false" outlineLevel="0" collapsed="false">
      <c r="A20" s="0" t="s">
        <v>534</v>
      </c>
      <c r="B20" s="18" t="s">
        <v>123</v>
      </c>
    </row>
    <row r="21" customFormat="false" ht="15" hidden="false" customHeight="false" outlineLevel="0" collapsed="false">
      <c r="A21" s="0" t="s">
        <v>535</v>
      </c>
      <c r="B21" s="18" t="s">
        <v>129</v>
      </c>
    </row>
    <row r="22" customFormat="false" ht="15" hidden="false" customHeight="false" outlineLevel="0" collapsed="false">
      <c r="A22" s="0" t="s">
        <v>536</v>
      </c>
      <c r="B22" s="0" t="s">
        <v>537</v>
      </c>
    </row>
    <row r="23" customFormat="false" ht="15" hidden="false" customHeight="false" outlineLevel="0" collapsed="false">
      <c r="A23" s="0" t="s">
        <v>538</v>
      </c>
      <c r="B23" s="18" t="s">
        <v>141</v>
      </c>
    </row>
    <row r="24" customFormat="false" ht="15" hidden="false" customHeight="false" outlineLevel="0" collapsed="false">
      <c r="A24" s="0" t="s">
        <v>539</v>
      </c>
      <c r="B24" s="18" t="s">
        <v>147</v>
      </c>
    </row>
    <row r="25" customFormat="false" ht="15" hidden="false" customHeight="false" outlineLevel="0" collapsed="false">
      <c r="A25" s="0" t="s">
        <v>540</v>
      </c>
      <c r="B25" s="18" t="s">
        <v>153</v>
      </c>
    </row>
    <row r="26" customFormat="false" ht="15" hidden="false" customHeight="false" outlineLevel="0" collapsed="false">
      <c r="A26" s="0" t="s">
        <v>541</v>
      </c>
      <c r="B26" s="18" t="s">
        <v>159</v>
      </c>
    </row>
    <row r="27" customFormat="false" ht="15" hidden="false" customHeight="false" outlineLevel="0" collapsed="false">
      <c r="A27" s="0" t="s">
        <v>542</v>
      </c>
      <c r="B27" s="18" t="s">
        <v>164</v>
      </c>
    </row>
    <row r="28" customFormat="false" ht="15" hidden="false" customHeight="false" outlineLevel="0" collapsed="false">
      <c r="A28" s="0" t="s">
        <v>543</v>
      </c>
      <c r="B28" s="18" t="s">
        <v>170</v>
      </c>
    </row>
    <row r="29" customFormat="false" ht="15" hidden="false" customHeight="false" outlineLevel="0" collapsed="false">
      <c r="A29" s="0" t="s">
        <v>544</v>
      </c>
      <c r="B29" s="18" t="s">
        <v>177</v>
      </c>
    </row>
    <row r="30" customFormat="false" ht="15" hidden="false" customHeight="false" outlineLevel="0" collapsed="false">
      <c r="A30" s="0" t="s">
        <v>545</v>
      </c>
      <c r="B30" s="18" t="s">
        <v>184</v>
      </c>
    </row>
    <row r="31" customFormat="false" ht="15" hidden="false" customHeight="false" outlineLevel="0" collapsed="false">
      <c r="A31" s="0" t="s">
        <v>546</v>
      </c>
      <c r="B31" s="18" t="s">
        <v>191</v>
      </c>
    </row>
    <row r="32" customFormat="false" ht="15" hidden="false" customHeight="false" outlineLevel="0" collapsed="false">
      <c r="A32" s="0" t="s">
        <v>547</v>
      </c>
      <c r="B32" s="18" t="s">
        <v>548</v>
      </c>
    </row>
    <row r="33" customFormat="false" ht="15" hidden="false" customHeight="false" outlineLevel="0" collapsed="false">
      <c r="A33" s="0" t="s">
        <v>549</v>
      </c>
      <c r="B33" s="18" t="s">
        <v>452</v>
      </c>
    </row>
    <row r="34" customFormat="false" ht="15" hidden="false" customHeight="false" outlineLevel="0" collapsed="false">
      <c r="A34" s="0" t="s">
        <v>550</v>
      </c>
      <c r="B34" s="18" t="s">
        <v>551</v>
      </c>
    </row>
    <row r="35" customFormat="false" ht="15" hidden="false" customHeight="false" outlineLevel="0" collapsed="false">
      <c r="A35" s="0" t="s">
        <v>552</v>
      </c>
      <c r="B35" s="18" t="s">
        <v>553</v>
      </c>
    </row>
    <row r="36" customFormat="false" ht="15" hidden="false" customHeight="false" outlineLevel="0" collapsed="false">
      <c r="A36" s="0" t="s">
        <v>554</v>
      </c>
      <c r="B36" s="18" t="s">
        <v>555</v>
      </c>
    </row>
    <row r="37" customFormat="false" ht="15" hidden="false" customHeight="false" outlineLevel="0" collapsed="false">
      <c r="A37" s="0" t="s">
        <v>556</v>
      </c>
      <c r="B37" s="18" t="s">
        <v>557</v>
      </c>
    </row>
    <row r="38" customFormat="false" ht="15" hidden="false" customHeight="false" outlineLevel="0" collapsed="false">
      <c r="A38" s="0" t="s">
        <v>558</v>
      </c>
      <c r="B38" s="18" t="s">
        <v>559</v>
      </c>
    </row>
    <row r="39" customFormat="false" ht="15" hidden="false" customHeight="false" outlineLevel="0" collapsed="false">
      <c r="A39" s="0" t="s">
        <v>560</v>
      </c>
      <c r="B39" s="18" t="s">
        <v>561</v>
      </c>
    </row>
    <row r="40" customFormat="false" ht="15" hidden="false" customHeight="false" outlineLevel="0" collapsed="false">
      <c r="A40" s="0" t="s">
        <v>562</v>
      </c>
      <c r="B40" s="18" t="s">
        <v>447</v>
      </c>
    </row>
    <row r="41" customFormat="false" ht="15" hidden="false" customHeight="false" outlineLevel="0" collapsed="false">
      <c r="A41" s="0" t="s">
        <v>563</v>
      </c>
      <c r="B41" s="18" t="s">
        <v>564</v>
      </c>
    </row>
    <row r="42" customFormat="false" ht="15" hidden="false" customHeight="false" outlineLevel="0" collapsed="false">
      <c r="A42" s="0" t="s">
        <v>565</v>
      </c>
      <c r="B42" s="18" t="s">
        <v>249</v>
      </c>
    </row>
    <row r="43" customFormat="false" ht="15" hidden="false" customHeight="false" outlineLevel="0" collapsed="false">
      <c r="A43" s="0" t="s">
        <v>566</v>
      </c>
      <c r="B43" s="18" t="s">
        <v>455</v>
      </c>
    </row>
    <row r="44" customFormat="false" ht="15" hidden="false" customHeight="false" outlineLevel="0" collapsed="false">
      <c r="A44" s="0" t="s">
        <v>567</v>
      </c>
      <c r="B44" s="18" t="s">
        <v>241</v>
      </c>
    </row>
    <row r="45" customFormat="false" ht="15" hidden="false" customHeight="false" outlineLevel="0" collapsed="false">
      <c r="A45" s="0" t="s">
        <v>568</v>
      </c>
      <c r="B45" s="18" t="s">
        <v>569</v>
      </c>
    </row>
    <row r="46" customFormat="false" ht="15" hidden="false" customHeight="false" outlineLevel="0" collapsed="false">
      <c r="A46" s="0" t="s">
        <v>570</v>
      </c>
      <c r="B46" s="18" t="s">
        <v>231</v>
      </c>
    </row>
    <row r="47" customFormat="false" ht="15" hidden="false" customHeight="false" outlineLevel="0" collapsed="false">
      <c r="A47" s="0" t="s">
        <v>571</v>
      </c>
      <c r="B47" s="18" t="s">
        <v>572</v>
      </c>
    </row>
    <row r="48" customFormat="false" ht="15" hidden="false" customHeight="false" outlineLevel="0" collapsed="false">
      <c r="A48" s="0" t="s">
        <v>573</v>
      </c>
      <c r="B48" s="18" t="s">
        <v>574</v>
      </c>
    </row>
    <row r="49" customFormat="false" ht="15" hidden="false" customHeight="false" outlineLevel="0" collapsed="false">
      <c r="A49" s="0" t="s">
        <v>575</v>
      </c>
      <c r="B49" s="18" t="s">
        <v>576</v>
      </c>
    </row>
    <row r="50" customFormat="false" ht="15" hidden="false" customHeight="false" outlineLevel="0" collapsed="false">
      <c r="A50" s="0" t="s">
        <v>577</v>
      </c>
      <c r="B50" s="18" t="s">
        <v>578</v>
      </c>
    </row>
    <row r="51" customFormat="false" ht="15" hidden="false" customHeight="false" outlineLevel="0" collapsed="false">
      <c r="A51" s="0" t="s">
        <v>579</v>
      </c>
      <c r="B51" s="18" t="s">
        <v>580</v>
      </c>
    </row>
    <row r="52" customFormat="false" ht="15" hidden="false" customHeight="false" outlineLevel="0" collapsed="false">
      <c r="A52" s="0" t="s">
        <v>581</v>
      </c>
      <c r="B52" s="18" t="s">
        <v>582</v>
      </c>
    </row>
    <row r="53" customFormat="false" ht="15" hidden="false" customHeight="false" outlineLevel="0" collapsed="false">
      <c r="A53" s="0" t="s">
        <v>583</v>
      </c>
      <c r="B53" s="18" t="s">
        <v>584</v>
      </c>
    </row>
    <row r="54" customFormat="false" ht="15" hidden="false" customHeight="false" outlineLevel="0" collapsed="false">
      <c r="A54" s="0" t="s">
        <v>585</v>
      </c>
      <c r="B54" s="18" t="s">
        <v>586</v>
      </c>
    </row>
    <row r="55" customFormat="false" ht="15" hidden="false" customHeight="false" outlineLevel="0" collapsed="false">
      <c r="A55" s="0" t="s">
        <v>587</v>
      </c>
      <c r="B55" s="18" t="s">
        <v>588</v>
      </c>
    </row>
    <row r="56" customFormat="false" ht="15" hidden="false" customHeight="false" outlineLevel="0" collapsed="false">
      <c r="A56" s="0" t="s">
        <v>589</v>
      </c>
      <c r="B56" s="0" t="s">
        <v>590</v>
      </c>
    </row>
  </sheetData>
  <hyperlinks>
    <hyperlink ref="B9" r:id="rId1" display="https://www.piezodrive.com/product/tb3006-n-29um-range-piezo-tube-scanner/"/>
    <hyperlink ref="B10" r:id="rId2" display="https://www.adafruit.com/product/324"/>
    <hyperlink ref="B11" r:id="rId3" display="https://adafruit.com/product/6121"/>
    <hyperlink ref="B12" r:id="rId4" display="https://www.thorlabs.com/thorproduct.cfm?partnumber=FAS200"/>
    <hyperlink ref="B13" r:id="rId5" display="https://jlcpcb.com/"/>
    <hyperlink ref="B14" r:id="rId6" display="https://jlcpcb.com/"/>
    <hyperlink ref="B15" r:id="rId7" display="https://jlcpcb.com/"/>
    <hyperlink ref="B16" r:id="rId8" display="https://jlcpcb.com/"/>
    <hyperlink ref="B17" r:id="rId9" display="https://jlcpcb.com/"/>
    <hyperlink ref="B18" r:id="rId10" display="https://www.digikey.com/en/products/detail/analog-devices-inc/LT1469IN8-PBF/962892"/>
    <hyperlink ref="B19" r:id="rId11" display="https://www.digikey.com/en/products/detail/ohmite/SM104031007FE/824190"/>
    <hyperlink ref="B20" r:id="rId12" display="https://octopart.com/part/keystone/11301"/>
    <hyperlink ref="B21" r:id="rId13" display="https://www.lcsc.com/product-detail/C50636.html"/>
    <hyperlink ref="B23" r:id="rId14" display="https://www.jameco.com/z/182M18-Hammond-Manufacturing-Toroidal-Transformer-120VA-50Hz-Dual-Secondary-36VCT-3-33A-Series-18V-6-66A-Parallel_2575671.html"/>
    <hyperlink ref="B24" r:id="rId15" display="https://batteryjunction.com/batteries/shop-by-size/9v/energizer-522bp-4"/>
    <hyperlink ref="B25" r:id="rId16" display="https://octopart.com/part/keystone/1294"/>
    <hyperlink ref="B26" r:id="rId17" display="https://www.sparkfun.com/teensy-4-1.html"/>
    <hyperlink ref="B27" r:id="rId18" display="https://adafruit.com/product/4821"/>
    <hyperlink ref="B28" r:id="rId19" display="https://store.sunlu.com/products/petg-cfpetg-carbon-fiber-3d-printer-filament-1kg"/>
    <hyperlink ref="B29" r:id="rId20" display="https://www.walmart.com/ip/533082272"/>
    <hyperlink ref="B30" r:id="rId21" display="https://www.tedpella.com/AFM_html/AFM.aspx"/>
    <hyperlink ref="B31" r:id="rId22" display="https://www.isolateit.com/products/sorbothane-acoustic-and-vibration-isolation-square-6-x-6-pads"/>
    <hyperlink ref="B32" r:id="rId23" display="https://jlc3dp.com/help/article/us-tariff-policy-faq"/>
    <hyperlink ref="B33" r:id="rId24" display="https://www.piezodrive.com/?p=991"/>
    <hyperlink ref="B34" r:id="rId25" display="https://www.piezodrive.com/piezoelectric-tube-scanners/"/>
    <hyperlink ref="B35" r:id="rId26" display="https://www.piezodrive.com/product-category/tube-scanners/"/>
    <hyperlink ref="B36" r:id="rId27" display="https://www.piezodrive.com/product/pdu150-three-channel-ultra-low-noise-150v-piezo-driver/"/>
    <hyperlink ref="B37" r:id="rId28" display="https://www.piezodrive.com/product/ps1-24v-power-supply-for-modules/"/>
    <hyperlink ref="B38" r:id="rId29" display="https://www.piezodrive.com/product/td250-six-channel-250v/"/>
    <hyperlink ref="B39" r:id="rId30" display="https://www.piezodrive.com/product/horizontal-tube-wiring/"/>
    <hyperlink ref="B40" r:id="rId31" display="https://trykintsugi.com/sales-tax-guides/usa/california/san-diego-county.md"/>
    <hyperlink ref="B41" r:id="rId32" display="https://www.eevblog.com/forum/manufacture/lcscglobal-direct-shipping-to-usa-tariff-question/"/>
    <hyperlink ref="B42" r:id="rId33" display="https://mae156b.eng.ucsd.edu/mae156-resources/mae-undergrad-lab-resources/lab-shops/ucsd-lab-shop-resources-outside-of-mae"/>
    <hyperlink ref="B43" r:id="rId34" display="https://mpl.ucsd.edu/machine-shop-info/"/>
    <hyperlink ref="B44" r:id="rId35" display="https://jacobsschool.ucsd.edu/envision"/>
    <hyperlink ref="B45" r:id="rId36" display="https://www.goodfellow.com/usa/macor-glass-ceramic-rod-1000004916"/>
    <hyperlink ref="B46" r:id="rId37" display="https://store.bruker.com/products/dpt10"/>
    <hyperlink ref="B47" r:id="rId38" display="https://www.2spi.com/item/z01707/"/>
    <hyperlink ref="B48" r:id="rId39" display="https://www.sigmaaldrich.com/US/en/product/aldrich/gf84004523"/>
    <hyperlink ref="B49" r:id="rId40" display="https://www.penntoolco.com/grizzly-12-x-18-x-3-granite-surface-plate-no-ledge-g9651"/>
    <hyperlink ref="B50" r:id="rId41" display="https://www.batterymart.com/p-energizer-la522-9volt-lithium-battery.html"/>
    <hyperlink ref="B51" r:id="rId42" display="https://vetco.net/products/8331d-14g_silver_conductive_epoxy_adhesive_-_mg_chemicals_8331d-14g"/>
    <hyperlink ref="B52" r:id="rId43" display="https://kozakmicro.com/collections/1-4-80-tpi-oem-alternative-screws"/>
    <hyperlink ref="B53" r:id="rId44" display="https://www.tinymachines3d.com/products/bigtreetech-tmc2209-v1-3"/>
    <hyperlink ref="B56" r:id="rId45" display="DigiKey, Mouser, McMaster, Thorlabs and Amazon product pages could not be loaded from this environment; JLCPCB cannot quote without file uploa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2026-10-21T18:33:06Z</dcterms:created>
  <dc:creator>openpyxl</dc:creator>
  <dc:description/>
  <dc:language>en-US</dc:language>
  <cp:lastModifiedBy/>
  <dcterms:modified xsi:type="dcterms:W3CDTF">2026-10-21T18:33:08Z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